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4"/>
  </bookViews>
  <sheets>
    <sheet name="Пост оплата" sheetId="1" r:id="rId1"/>
    <sheet name="50-50" sheetId="2" r:id="rId2"/>
    <sheet name="100 по доставке" sheetId="3" r:id="rId3"/>
    <sheet name="Предоплата" sheetId="4" r:id="rId4"/>
    <sheet name="Лист1" sheetId="5" r:id="rId5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F29" i="1"/>
  <c r="H29" i="1"/>
  <c r="K29" i="1"/>
  <c r="L29" i="1"/>
  <c r="N29" i="1"/>
  <c r="P29" i="1"/>
  <c r="R29" i="1"/>
  <c r="W29" i="1"/>
  <c r="AJ29" i="1"/>
  <c r="G29" i="1" s="1"/>
  <c r="I29" i="1" l="1"/>
  <c r="AJ29" i="4"/>
  <c r="K29" i="4"/>
  <c r="L29" i="4" s="1"/>
  <c r="D29" i="4"/>
  <c r="H29" i="4" s="1"/>
  <c r="I29" i="4" s="1"/>
  <c r="AJ28" i="4"/>
  <c r="K28" i="4"/>
  <c r="L28" i="4" s="1"/>
  <c r="D28" i="4"/>
  <c r="H28" i="4" s="1"/>
  <c r="G23" i="4"/>
  <c r="B13" i="4"/>
  <c r="C4" i="4"/>
  <c r="A4" i="4"/>
  <c r="B15" i="4" s="1"/>
  <c r="AJ29" i="3"/>
  <c r="K29" i="3"/>
  <c r="L29" i="3" s="1"/>
  <c r="D29" i="3"/>
  <c r="H29" i="3" s="1"/>
  <c r="I29" i="3" s="1"/>
  <c r="AJ28" i="3"/>
  <c r="K28" i="3"/>
  <c r="L28" i="3" s="1"/>
  <c r="D28" i="3"/>
  <c r="H28" i="3" s="1"/>
  <c r="G23" i="3"/>
  <c r="B13" i="3"/>
  <c r="C4" i="3"/>
  <c r="A4" i="3"/>
  <c r="B15" i="3" s="1"/>
  <c r="AJ29" i="2"/>
  <c r="K29" i="2"/>
  <c r="L29" i="2" s="1"/>
  <c r="D29" i="2"/>
  <c r="F29" i="2" s="1"/>
  <c r="AJ28" i="2"/>
  <c r="K28" i="2"/>
  <c r="L28" i="2" s="1"/>
  <c r="D28" i="2"/>
  <c r="H28" i="2" s="1"/>
  <c r="G23" i="2"/>
  <c r="B13" i="2"/>
  <c r="C4" i="2"/>
  <c r="A4" i="2"/>
  <c r="B15" i="2" s="1"/>
  <c r="AJ28" i="1"/>
  <c r="R29" i="4" l="1"/>
  <c r="P29" i="4"/>
  <c r="N29" i="4"/>
  <c r="W28" i="4"/>
  <c r="W29" i="4"/>
  <c r="R28" i="4"/>
  <c r="P28" i="4"/>
  <c r="N28" i="4"/>
  <c r="I28" i="4"/>
  <c r="H4" i="4"/>
  <c r="F28" i="4"/>
  <c r="G28" i="4"/>
  <c r="F29" i="4"/>
  <c r="G29" i="4" s="1"/>
  <c r="W28" i="3"/>
  <c r="W29" i="3"/>
  <c r="R28" i="3"/>
  <c r="P28" i="3"/>
  <c r="N28" i="3"/>
  <c r="I28" i="3"/>
  <c r="R29" i="3"/>
  <c r="P29" i="3"/>
  <c r="N29" i="3"/>
  <c r="H4" i="3"/>
  <c r="F29" i="3"/>
  <c r="G29" i="3" s="1"/>
  <c r="F28" i="3"/>
  <c r="G28" i="3"/>
  <c r="W28" i="2"/>
  <c r="W29" i="2"/>
  <c r="R28" i="2"/>
  <c r="P28" i="2"/>
  <c r="N28" i="2"/>
  <c r="I28" i="2"/>
  <c r="P29" i="2"/>
  <c r="N29" i="2"/>
  <c r="R29" i="2"/>
  <c r="H29" i="2"/>
  <c r="I29" i="2" s="1"/>
  <c r="H4" i="2"/>
  <c r="G29" i="2"/>
  <c r="F28" i="2"/>
  <c r="G28" i="2"/>
  <c r="K28" i="1"/>
  <c r="L28" i="1" s="1"/>
  <c r="N28" i="1" s="1"/>
  <c r="D28" i="1"/>
  <c r="F28" i="1" s="1"/>
  <c r="G28" i="1" s="1"/>
  <c r="G23" i="1"/>
  <c r="B13" i="1"/>
  <c r="C4" i="1"/>
  <c r="A4" i="1"/>
  <c r="B15" i="1" s="1"/>
  <c r="P28" i="1" l="1"/>
  <c r="H28" i="1"/>
  <c r="I28" i="1" s="1"/>
  <c r="R28" i="1"/>
  <c r="W28" i="1"/>
  <c r="H4" i="1"/>
  <c r="Q24" i="3"/>
  <c r="O28" i="3"/>
  <c r="Q28" i="3"/>
  <c r="U28" i="3"/>
  <c r="V28" i="3"/>
  <c r="X28" i="3"/>
  <c r="Z28" i="3"/>
  <c r="AE28" i="3"/>
  <c r="AG28" i="3"/>
  <c r="AH28" i="3"/>
  <c r="AK28" i="3"/>
  <c r="AL28" i="3"/>
  <c r="O29" i="3"/>
  <c r="Q29" i="3"/>
  <c r="U29" i="3"/>
  <c r="V29" i="3"/>
  <c r="X29" i="3"/>
  <c r="Z29" i="3"/>
  <c r="AE29" i="3"/>
  <c r="AG29" i="3"/>
  <c r="AH29" i="3"/>
  <c r="AK29" i="3"/>
  <c r="AL29" i="3"/>
  <c r="Q24" i="2"/>
  <c r="O28" i="2"/>
  <c r="Q28" i="2"/>
  <c r="U28" i="2"/>
  <c r="V28" i="2"/>
  <c r="X28" i="2"/>
  <c r="Z28" i="2"/>
  <c r="AE28" i="2"/>
  <c r="AG28" i="2"/>
  <c r="AH28" i="2"/>
  <c r="AK28" i="2"/>
  <c r="AL28" i="2"/>
  <c r="O29" i="2"/>
  <c r="Q29" i="2"/>
  <c r="U29" i="2"/>
  <c r="V29" i="2"/>
  <c r="X29" i="2"/>
  <c r="Z29" i="2"/>
  <c r="AE29" i="2"/>
  <c r="AG29" i="2"/>
  <c r="AH29" i="2"/>
  <c r="AK29" i="2"/>
  <c r="AL29" i="2"/>
  <c r="Q24" i="1"/>
  <c r="O28" i="1"/>
  <c r="Q28" i="1"/>
  <c r="U28" i="1"/>
  <c r="V28" i="1"/>
  <c r="X28" i="1"/>
  <c r="Z28" i="1"/>
  <c r="AE28" i="1"/>
  <c r="AG28" i="1"/>
  <c r="AH28" i="1"/>
  <c r="AK28" i="1"/>
  <c r="AL28" i="1"/>
  <c r="O29" i="1"/>
  <c r="Q29" i="1"/>
  <c r="U29" i="1"/>
  <c r="V29" i="1"/>
  <c r="X29" i="1"/>
  <c r="Z29" i="1"/>
  <c r="AE29" i="1"/>
  <c r="AG29" i="1"/>
  <c r="AH29" i="1"/>
  <c r="AK29" i="1"/>
  <c r="AL29" i="1"/>
  <c r="Q24" i="4"/>
  <c r="O28" i="4"/>
  <c r="Q28" i="4"/>
  <c r="U28" i="4"/>
  <c r="V28" i="4"/>
  <c r="X28" i="4"/>
  <c r="Z28" i="4"/>
  <c r="AE28" i="4"/>
  <c r="AG28" i="4"/>
  <c r="AH28" i="4"/>
  <c r="AK28" i="4"/>
  <c r="AL28" i="4"/>
  <c r="O29" i="4"/>
  <c r="Q29" i="4"/>
  <c r="U29" i="4"/>
  <c r="V29" i="4"/>
  <c r="X29" i="4"/>
  <c r="Z29" i="4"/>
  <c r="AE29" i="4"/>
  <c r="AG29" i="4"/>
  <c r="AH29" i="4"/>
  <c r="AK29" i="4"/>
  <c r="AL29" i="4"/>
</calcChain>
</file>

<file path=xl/sharedStrings.xml><?xml version="1.0" encoding="utf-8"?>
<sst xmlns="http://schemas.openxmlformats.org/spreadsheetml/2006/main" count="368" uniqueCount="88">
  <si>
    <t>Расходы (накладные)</t>
  </si>
  <si>
    <t>Валюта</t>
  </si>
  <si>
    <t>Поступление товара купили продукции</t>
  </si>
  <si>
    <t>В рублях</t>
  </si>
  <si>
    <t>Кол-во месяцев</t>
  </si>
  <si>
    <t>Расходы (накладные) в месяц</t>
  </si>
  <si>
    <t>CNY</t>
  </si>
  <si>
    <t>EUR</t>
  </si>
  <si>
    <t>Руб</t>
  </si>
  <si>
    <t>Переменные</t>
  </si>
  <si>
    <t>Коммисия банка (валюта)</t>
  </si>
  <si>
    <t>Оплата поставщику</t>
  </si>
  <si>
    <t>Кредитная ставка</t>
  </si>
  <si>
    <t>Условия оплаты (перевод CNY в руб)</t>
  </si>
  <si>
    <t>Стоимость доставки до контрагента $</t>
  </si>
  <si>
    <t>Доставка, $</t>
  </si>
  <si>
    <t>Коэф наценки на закупочную стоимость</t>
  </si>
  <si>
    <t>Евро</t>
  </si>
  <si>
    <t>Курсы</t>
  </si>
  <si>
    <t>Доллар</t>
  </si>
  <si>
    <t>Кол-во машин</t>
  </si>
  <si>
    <t>Юань</t>
  </si>
  <si>
    <t>Прибыль</t>
  </si>
  <si>
    <t>Модель</t>
  </si>
  <si>
    <t>Стоимость закупки, CNY</t>
  </si>
  <si>
    <t>Комисия банка, CNY</t>
  </si>
  <si>
    <t>Стоимость доставки, $ (РЖД)</t>
  </si>
  <si>
    <t>Срок доставки, дн</t>
  </si>
  <si>
    <t>Дата оплаты доставки/сумма, руб</t>
  </si>
  <si>
    <t>Кол-во в контейнере, шт</t>
  </si>
  <si>
    <t>Оплата поставщику, CNY (включая 2% агенские)</t>
  </si>
  <si>
    <t>Оплата поставщику, Руб (курс+4%)</t>
  </si>
  <si>
    <t>Срок производства, дн</t>
  </si>
  <si>
    <t>Дата оплаты поставщику/сумма, руб</t>
  </si>
  <si>
    <t>Комисия банка (валютный контроль) 0,6%</t>
  </si>
  <si>
    <t>СВХ (руб) Терминальные расходы</t>
  </si>
  <si>
    <t>Брокер (Руб)</t>
  </si>
  <si>
    <t>Кредитные средства</t>
  </si>
  <si>
    <t>Административные расходы на ед. продукции, CNY</t>
  </si>
  <si>
    <t xml:space="preserve">Наценка СЭС </t>
  </si>
  <si>
    <t>Стоимость ед. CNY без НДС</t>
  </si>
  <si>
    <t>Скидка,%</t>
  </si>
  <si>
    <t>Стоимость доставки до контагента (на ед.), CNY</t>
  </si>
  <si>
    <t>Цена продажи ед. CNY без НДС (с учетом доставки)</t>
  </si>
  <si>
    <t>Цена продажи объем CNY без НДС</t>
  </si>
  <si>
    <t>Цена продажи объем руб без НДС</t>
  </si>
  <si>
    <t>Срок поставки, дн</t>
  </si>
  <si>
    <t>Отсрочка, дн</t>
  </si>
  <si>
    <t>Дата оплаты клиента/сумма, руб</t>
  </si>
  <si>
    <t>Проходная цена CNY без НДС</t>
  </si>
  <si>
    <t>t2</t>
  </si>
  <si>
    <t>% по кредиту t2</t>
  </si>
  <si>
    <t>t3</t>
  </si>
  <si>
    <t>% по кредиту t3</t>
  </si>
  <si>
    <t>t1</t>
  </si>
  <si>
    <t>t0</t>
  </si>
  <si>
    <t>% по кредиту t0</t>
  </si>
  <si>
    <t>% по кредиту t1</t>
  </si>
  <si>
    <t>С учетом кредитых средств и Адм</t>
  </si>
  <si>
    <t>СП</t>
  </si>
  <si>
    <t>СО</t>
  </si>
  <si>
    <t>t5</t>
  </si>
  <si>
    <t>t6</t>
  </si>
  <si>
    <t>СП+СО-t1</t>
  </si>
  <si>
    <t>СП+СО-t1-(t3-t2)</t>
  </si>
  <si>
    <t>t6-t0</t>
  </si>
  <si>
    <t>t6-t1</t>
  </si>
  <si>
    <t>YJ125</t>
  </si>
  <si>
    <t>Себестоимость ед. CNY без НДС (С/Б)</t>
  </si>
  <si>
    <t>Базовые условия</t>
  </si>
  <si>
    <t>Оплата</t>
  </si>
  <si>
    <t xml:space="preserve">Доставка </t>
  </si>
  <si>
    <t>50/50</t>
  </si>
  <si>
    <t>Условия оплаты клиента</t>
  </si>
  <si>
    <t>Отсрочка</t>
  </si>
  <si>
    <t>Кол-во дней отсрочки платежа</t>
  </si>
  <si>
    <t>по доставке товара на склад</t>
  </si>
  <si>
    <t>предоплата</t>
  </si>
  <si>
    <t>Клиент видет</t>
  </si>
  <si>
    <t>Условия оплаты</t>
  </si>
  <si>
    <t>Постоплата</t>
  </si>
  <si>
    <t>Стоимость ед. CNY без</t>
  </si>
  <si>
    <t>100% по доставке</t>
  </si>
  <si>
    <t>Предоплата 100%</t>
  </si>
  <si>
    <t>Клиент задает</t>
  </si>
  <si>
    <t>Задает/согласовывает поставщик</t>
  </si>
  <si>
    <t>Закупка CNY без НДС</t>
  </si>
  <si>
    <t>Обратный расчет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</si>
</sst>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0" fillId="7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9" fontId="0" fillId="3" borderId="1" xfId="2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9" fontId="0" fillId="8" borderId="1" xfId="0" applyNumberFormat="1" applyFill="1" applyBorder="1" applyAlignment="1">
      <alignment horizontal="center" vertical="center" wrapText="1"/>
    </xf>
    <xf numFmtId="164" fontId="0" fillId="6" borderId="3" xfId="2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2" fontId="0" fillId="6" borderId="1" xfId="0" applyNumberFormat="1" applyFill="1" applyBorder="1"/>
    <xf numFmtId="0" fontId="0" fillId="0" borderId="0" xfId="0" applyAlignment="1">
      <alignment horizontal="center"/>
    </xf>
    <xf numFmtId="2" fontId="0" fillId="0" borderId="0" xfId="0" applyNumberFormat="1"/>
    <xf numFmtId="43" fontId="0" fillId="0" borderId="4" xfId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9" fontId="0" fillId="5" borderId="0" xfId="2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/>
    <xf numFmtId="0" fontId="0" fillId="6" borderId="1" xfId="0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9" fontId="0" fillId="6" borderId="1" xfId="2" applyFont="1" applyFill="1" applyBorder="1" applyAlignment="1">
      <alignment horizontal="center" vertical="center"/>
    </xf>
    <xf numFmtId="9" fontId="0" fillId="5" borderId="7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15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2" fillId="15" borderId="1" xfId="1" applyFont="1" applyFill="1" applyBorder="1" applyAlignment="1">
      <alignment horizontal="center" vertical="center"/>
    </xf>
    <xf numFmtId="43" fontId="2" fillId="8" borderId="1" xfId="1" applyFont="1" applyFill="1" applyBorder="1" applyAlignment="1">
      <alignment horizontal="center" vertical="center"/>
    </xf>
    <xf numFmtId="43" fontId="2" fillId="0" borderId="1" xfId="0" applyNumberFormat="1" applyFont="1" applyBorder="1"/>
    <xf numFmtId="43" fontId="0" fillId="0" borderId="1" xfId="0" applyNumberFormat="1" applyBorder="1"/>
    <xf numFmtId="165" fontId="0" fillId="6" borderId="1" xfId="2" applyNumberFormat="1" applyFont="1" applyFill="1" applyBorder="1" applyAlignment="1">
      <alignment horizontal="center" vertical="center"/>
    </xf>
    <xf numFmtId="164" fontId="0" fillId="5" borderId="1" xfId="2" applyNumberFormat="1" applyFont="1" applyFill="1" applyBorder="1" applyAlignment="1">
      <alignment horizontal="center" vertical="center"/>
    </xf>
    <xf numFmtId="43" fontId="0" fillId="15" borderId="1" xfId="0" applyNumberFormat="1" applyFill="1" applyBorder="1"/>
    <xf numFmtId="43" fontId="0" fillId="14" borderId="1" xfId="0" applyNumberFormat="1" applyFill="1" applyBorder="1"/>
    <xf numFmtId="43" fontId="0" fillId="15" borderId="4" xfId="0" applyNumberFormat="1" applyFill="1" applyBorder="1"/>
    <xf numFmtId="43" fontId="0" fillId="0" borderId="0" xfId="0" applyNumberFormat="1"/>
    <xf numFmtId="43" fontId="0" fillId="10" borderId="1" xfId="1" applyFont="1" applyFill="1" applyBorder="1" applyAlignment="1">
      <alignment horizontal="center" vertical="center"/>
    </xf>
    <xf numFmtId="43" fontId="0" fillId="8" borderId="1" xfId="1" applyFont="1" applyFill="1" applyBorder="1" applyAlignment="1">
      <alignment horizontal="center" vertical="center"/>
    </xf>
    <xf numFmtId="43" fontId="0" fillId="16" borderId="1" xfId="0" applyNumberFormat="1" applyFill="1" applyBorder="1"/>
    <xf numFmtId="43" fontId="0" fillId="0" borderId="4" xfId="0" applyNumberFormat="1" applyBorder="1"/>
    <xf numFmtId="43" fontId="0" fillId="0" borderId="0" xfId="1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Fill="1" applyBorder="1"/>
    <xf numFmtId="0" fontId="0" fillId="6" borderId="1" xfId="0" applyFill="1" applyBorder="1" applyAlignment="1">
      <alignment horizontal="center" vertical="center"/>
    </xf>
    <xf numFmtId="9" fontId="0" fillId="8" borderId="1" xfId="2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3" fontId="0" fillId="16" borderId="5" xfId="0" applyNumberFormat="1" applyFill="1" applyBorder="1" applyAlignment="1">
      <alignment horizontal="center" vertical="center"/>
    </xf>
    <xf numFmtId="43" fontId="0" fillId="16" borderId="4" xfId="0" applyNumberForma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1" xfId="0" applyBorder="1"/>
    <xf numFmtId="2" fontId="0" fillId="8" borderId="1" xfId="0" applyNumberFormat="1" applyFill="1" applyBorder="1"/>
    <xf numFmtId="0" fontId="0" fillId="0" borderId="18" xfId="0" applyFill="1" applyBorder="1"/>
    <xf numFmtId="4" fontId="0" fillId="15" borderId="1" xfId="0" applyNumberForma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zoomScale="85" zoomScaleNormal="85" workbookViewId="0">
      <selection activeCell="AE29" sqref="AE29"/>
    </sheetView>
  </sheetViews>
  <sheetFormatPr defaultRowHeight="14.5" outlineLevelRow="1" outlineLevelCol="1" x14ac:dyDescent="0.35"/>
  <cols>
    <col min="1" max="1" width="23.453125" bestFit="1" customWidth="1"/>
    <col min="2" max="2" width="15.26953125" style="19" customWidth="1"/>
    <col min="3" max="3" width="19.81640625" customWidth="1" outlineLevel="1"/>
    <col min="4" max="4" width="12.453125" customWidth="1" outlineLevel="1"/>
    <col min="5" max="5" width="15.54296875" style="3" customWidth="1" outlineLevel="1"/>
    <col min="6" max="6" width="22.6328125" customWidth="1" outlineLevel="1"/>
    <col min="7" max="7" width="19" customWidth="1" outlineLevel="1"/>
    <col min="8" max="8" width="16.26953125" customWidth="1" outlineLevel="1"/>
    <col min="9" max="9" width="16.6328125" customWidth="1" outlineLevel="1"/>
    <col min="10" max="10" width="18.6328125" customWidth="1" outlineLevel="1"/>
    <col min="11" max="11" width="20.1796875" customWidth="1" outlineLevel="1"/>
    <col min="12" max="12" width="17.26953125" customWidth="1" outlineLevel="1"/>
    <col min="13" max="13" width="15.81640625" style="3" customWidth="1" outlineLevel="1"/>
    <col min="14" max="18" width="17.26953125" customWidth="1" outlineLevel="1"/>
    <col min="19" max="19" width="16.26953125" customWidth="1" outlineLevel="1"/>
    <col min="20" max="20" width="15.7265625" customWidth="1" outlineLevel="1"/>
    <col min="21" max="21" width="19.08984375" customWidth="1" outlineLevel="1"/>
    <col min="22" max="23" width="18.90625" customWidth="1" outlineLevel="1"/>
    <col min="24" max="24" width="14.81640625" customWidth="1" outlineLevel="1"/>
    <col min="25" max="25" width="8.7265625" customWidth="1" outlineLevel="1"/>
    <col min="26" max="26" width="19.08984375" customWidth="1" outlineLevel="1"/>
    <col min="27" max="27" width="8.7265625" customWidth="1" outlineLevel="1"/>
    <col min="28" max="29" width="19.08984375" customWidth="1" outlineLevel="1"/>
    <col min="30" max="30" width="21.36328125" customWidth="1" outlineLevel="1"/>
    <col min="31" max="32" width="21.7265625" customWidth="1"/>
    <col min="33" max="36" width="16.7265625" customWidth="1"/>
    <col min="37" max="37" width="14.81640625" bestFit="1" customWidth="1"/>
    <col min="38" max="38" width="15.81640625" bestFit="1" customWidth="1"/>
    <col min="39" max="39" width="13.54296875" customWidth="1"/>
    <col min="40" max="40" width="12.54296875" bestFit="1" customWidth="1"/>
  </cols>
  <sheetData>
    <row r="1" spans="1:13" ht="43.5" x14ac:dyDescent="0.35">
      <c r="A1" s="1" t="s">
        <v>0</v>
      </c>
      <c r="B1" s="2" t="s">
        <v>1</v>
      </c>
      <c r="C1" s="1" t="s">
        <v>2</v>
      </c>
      <c r="D1" s="2" t="s">
        <v>1</v>
      </c>
      <c r="E1" s="3" t="s">
        <v>3</v>
      </c>
      <c r="F1" s="4" t="s">
        <v>4</v>
      </c>
      <c r="H1" s="1" t="s">
        <v>5</v>
      </c>
      <c r="J1" s="74"/>
    </row>
    <row r="2" spans="1:13" hidden="1" outlineLevel="1" x14ac:dyDescent="0.35">
      <c r="A2" s="5"/>
      <c r="B2" s="6" t="s">
        <v>6</v>
      </c>
      <c r="C2" s="5">
        <v>10669211.68</v>
      </c>
      <c r="D2" s="6" t="s">
        <v>6</v>
      </c>
      <c r="E2" s="7">
        <v>122091981.08</v>
      </c>
      <c r="F2" s="8">
        <v>9</v>
      </c>
      <c r="G2" s="9"/>
      <c r="H2" s="5"/>
      <c r="J2" s="74"/>
    </row>
    <row r="3" spans="1:13" hidden="1" outlineLevel="1" x14ac:dyDescent="0.35">
      <c r="A3" s="5"/>
      <c r="B3" s="6" t="s">
        <v>7</v>
      </c>
      <c r="C3" s="5">
        <v>638856.24</v>
      </c>
      <c r="D3" s="6" t="s">
        <v>7</v>
      </c>
      <c r="E3" s="7">
        <v>61777335.299999997</v>
      </c>
      <c r="F3" s="8">
        <v>9</v>
      </c>
      <c r="G3" s="9"/>
      <c r="H3" s="5"/>
      <c r="J3" s="74"/>
    </row>
    <row r="4" spans="1:13" collapsed="1" x14ac:dyDescent="0.35">
      <c r="A4" s="5">
        <f>19987000*1.1</f>
        <v>21985700</v>
      </c>
      <c r="B4" s="6" t="s">
        <v>8</v>
      </c>
      <c r="C4" s="5">
        <f>(E2+E3)</f>
        <v>183869316.38</v>
      </c>
      <c r="D4" s="6" t="s">
        <v>8</v>
      </c>
      <c r="E4" s="7"/>
      <c r="F4" s="8">
        <v>9</v>
      </c>
      <c r="H4" s="5">
        <f>A4/F4</f>
        <v>2442855.5555555555</v>
      </c>
      <c r="J4" s="75"/>
    </row>
    <row r="5" spans="1:13" x14ac:dyDescent="0.35">
      <c r="B5"/>
      <c r="E5"/>
      <c r="J5" s="74"/>
      <c r="M5"/>
    </row>
    <row r="6" spans="1:13" x14ac:dyDescent="0.35">
      <c r="A6" s="1" t="s">
        <v>9</v>
      </c>
      <c r="B6"/>
      <c r="E6"/>
      <c r="J6" s="74"/>
      <c r="M6"/>
    </row>
    <row r="7" spans="1:13" x14ac:dyDescent="0.35">
      <c r="A7" s="10" t="s">
        <v>10</v>
      </c>
      <c r="B7" s="11">
        <v>470</v>
      </c>
      <c r="C7" s="12" t="s">
        <v>6</v>
      </c>
      <c r="E7"/>
      <c r="J7" s="74"/>
      <c r="M7"/>
    </row>
    <row r="8" spans="1:13" x14ac:dyDescent="0.35">
      <c r="B8" s="11">
        <v>100</v>
      </c>
      <c r="C8" s="12" t="s">
        <v>7</v>
      </c>
      <c r="E8"/>
      <c r="M8"/>
    </row>
    <row r="9" spans="1:13" x14ac:dyDescent="0.35">
      <c r="A9" s="10" t="s">
        <v>11</v>
      </c>
      <c r="B9" s="13">
        <v>0.02</v>
      </c>
      <c r="C9" s="12"/>
      <c r="E9"/>
      <c r="M9"/>
    </row>
    <row r="10" spans="1:13" x14ac:dyDescent="0.35">
      <c r="A10" s="10" t="s">
        <v>12</v>
      </c>
      <c r="B10" s="13">
        <v>0.27</v>
      </c>
    </row>
    <row r="11" spans="1:13" ht="15" thickBot="1" x14ac:dyDescent="0.4">
      <c r="B11" s="13">
        <v>0.05</v>
      </c>
    </row>
    <row r="12" spans="1:13" ht="29.5" thickBot="1" x14ac:dyDescent="0.4">
      <c r="A12" s="14" t="s">
        <v>13</v>
      </c>
      <c r="B12" s="15">
        <v>0.02</v>
      </c>
    </row>
    <row r="13" spans="1:13" ht="29.5" thickBot="1" x14ac:dyDescent="0.4">
      <c r="A13" s="14" t="s">
        <v>14</v>
      </c>
      <c r="B13" s="16">
        <f>55000/C23</f>
        <v>679.01234567901236</v>
      </c>
    </row>
    <row r="14" spans="1:13" ht="15" thickBot="1" x14ac:dyDescent="0.4">
      <c r="A14" s="14" t="s">
        <v>15</v>
      </c>
      <c r="B14" s="16">
        <v>9000</v>
      </c>
    </row>
    <row r="15" spans="1:13" ht="29" x14ac:dyDescent="0.35">
      <c r="A15" s="17" t="s">
        <v>16</v>
      </c>
      <c r="B15" s="18">
        <f>A4/C4</f>
        <v>0.11957242476804819</v>
      </c>
      <c r="K15" s="74"/>
      <c r="L15" s="74"/>
    </row>
    <row r="16" spans="1:13" x14ac:dyDescent="0.35">
      <c r="K16" s="74"/>
      <c r="L16" s="74"/>
    </row>
    <row r="17" spans="1:40" x14ac:dyDescent="0.35">
      <c r="A17" s="79" t="s">
        <v>69</v>
      </c>
      <c r="B17" s="6" t="s">
        <v>70</v>
      </c>
      <c r="K17" s="74"/>
      <c r="L17" s="74"/>
    </row>
    <row r="18" spans="1:40" x14ac:dyDescent="0.35">
      <c r="A18" s="79" t="s">
        <v>71</v>
      </c>
      <c r="B18" s="6" t="s">
        <v>72</v>
      </c>
      <c r="G18" s="20"/>
      <c r="K18" s="74"/>
      <c r="L18" s="74"/>
    </row>
    <row r="19" spans="1:40" x14ac:dyDescent="0.35">
      <c r="A19" s="79" t="s">
        <v>11</v>
      </c>
      <c r="B19" s="6" t="s">
        <v>72</v>
      </c>
      <c r="G19" s="20"/>
      <c r="K19" s="74"/>
      <c r="L19" s="74"/>
    </row>
    <row r="20" spans="1:40" x14ac:dyDescent="0.35">
      <c r="A20" s="79" t="s">
        <v>73</v>
      </c>
      <c r="B20" s="6" t="s">
        <v>74</v>
      </c>
      <c r="G20" s="20"/>
      <c r="K20" s="74"/>
      <c r="L20" s="74"/>
    </row>
    <row r="21" spans="1:40" ht="29" x14ac:dyDescent="0.35">
      <c r="A21" s="79" t="s">
        <v>75</v>
      </c>
      <c r="B21" s="6">
        <v>60</v>
      </c>
      <c r="K21" s="73"/>
      <c r="L21" s="74"/>
    </row>
    <row r="22" spans="1:40" x14ac:dyDescent="0.35">
      <c r="B22" s="78" t="s">
        <v>17</v>
      </c>
      <c r="C22" s="22">
        <v>94.94</v>
      </c>
      <c r="K22" s="73"/>
      <c r="L22" s="74"/>
    </row>
    <row r="23" spans="1:40" ht="49" customHeight="1" x14ac:dyDescent="0.35">
      <c r="A23" s="23" t="s">
        <v>18</v>
      </c>
      <c r="B23" s="22" t="s">
        <v>19</v>
      </c>
      <c r="C23" s="22">
        <v>81</v>
      </c>
      <c r="F23" s="24"/>
      <c r="G23" s="24">
        <f>4*65*12</f>
        <v>3120</v>
      </c>
      <c r="H23" s="24"/>
      <c r="I23" s="24"/>
      <c r="J23" s="8" t="s">
        <v>20</v>
      </c>
      <c r="K23" s="74"/>
      <c r="L23" s="74"/>
    </row>
    <row r="24" spans="1:40" x14ac:dyDescent="0.35">
      <c r="A24" s="25"/>
      <c r="B24" s="26" t="s">
        <v>21</v>
      </c>
      <c r="C24" s="27">
        <v>11.120900000000001</v>
      </c>
      <c r="D24" s="28"/>
      <c r="E24" s="28"/>
      <c r="F24" s="24"/>
      <c r="G24" s="24"/>
      <c r="H24" s="24"/>
      <c r="I24" s="24">
        <v>49</v>
      </c>
      <c r="J24" s="8">
        <v>1</v>
      </c>
      <c r="Q24" s="68">
        <f ca="1">AK28-N28</f>
        <v>-2635991.9981304002</v>
      </c>
      <c r="U24" s="29"/>
      <c r="Z24" s="30"/>
      <c r="AB24" s="29" t="s">
        <v>22</v>
      </c>
      <c r="AC24" s="29"/>
      <c r="AI24" s="31"/>
      <c r="AJ24" s="31"/>
    </row>
    <row r="25" spans="1:40" s="41" customFormat="1" ht="60.5" customHeight="1" thickBot="1" x14ac:dyDescent="0.4">
      <c r="A25" s="32" t="s">
        <v>23</v>
      </c>
      <c r="B25" s="33" t="s">
        <v>24</v>
      </c>
      <c r="C25" s="34" t="s">
        <v>25</v>
      </c>
      <c r="D25" s="34" t="s">
        <v>26</v>
      </c>
      <c r="E25" s="35" t="s">
        <v>27</v>
      </c>
      <c r="F25" s="82" t="s">
        <v>28</v>
      </c>
      <c r="G25" s="83"/>
      <c r="H25" s="83"/>
      <c r="I25" s="84"/>
      <c r="J25" s="36" t="s">
        <v>29</v>
      </c>
      <c r="K25" s="36" t="s">
        <v>30</v>
      </c>
      <c r="L25" s="34" t="s">
        <v>31</v>
      </c>
      <c r="M25" s="37" t="s">
        <v>32</v>
      </c>
      <c r="N25" s="82" t="s">
        <v>33</v>
      </c>
      <c r="O25" s="83"/>
      <c r="P25" s="83"/>
      <c r="Q25" s="84"/>
      <c r="R25" s="34" t="s">
        <v>34</v>
      </c>
      <c r="S25" s="34" t="s">
        <v>35</v>
      </c>
      <c r="T25" s="34" t="s">
        <v>36</v>
      </c>
      <c r="U25" s="38" t="s">
        <v>37</v>
      </c>
      <c r="V25" s="39" t="s">
        <v>68</v>
      </c>
      <c r="W25" s="39" t="s">
        <v>38</v>
      </c>
      <c r="X25" s="40" t="s">
        <v>39</v>
      </c>
      <c r="Z25" s="38" t="s">
        <v>40</v>
      </c>
      <c r="AB25" s="77" t="s">
        <v>22</v>
      </c>
      <c r="AC25" s="42" t="s">
        <v>41</v>
      </c>
      <c r="AD25" s="43" t="s">
        <v>42</v>
      </c>
      <c r="AE25" s="44" t="s">
        <v>43</v>
      </c>
      <c r="AF25" s="44"/>
      <c r="AG25" s="45" t="s">
        <v>44</v>
      </c>
      <c r="AH25" s="45" t="s">
        <v>45</v>
      </c>
      <c r="AI25" s="46" t="s">
        <v>46</v>
      </c>
      <c r="AJ25" s="46" t="s">
        <v>47</v>
      </c>
      <c r="AK25" s="82" t="s">
        <v>48</v>
      </c>
      <c r="AL25" s="84"/>
      <c r="AM25" s="40" t="s">
        <v>49</v>
      </c>
    </row>
    <row r="26" spans="1:40" ht="22" customHeight="1" x14ac:dyDescent="0.35">
      <c r="A26" s="47"/>
      <c r="B26" s="47"/>
      <c r="C26" s="47"/>
      <c r="D26" s="47"/>
      <c r="E26" s="85"/>
      <c r="F26" s="22" t="s">
        <v>50</v>
      </c>
      <c r="G26" s="22" t="s">
        <v>51</v>
      </c>
      <c r="H26" s="48" t="s">
        <v>52</v>
      </c>
      <c r="I26" s="48" t="s">
        <v>53</v>
      </c>
      <c r="J26" s="49"/>
      <c r="K26" s="49"/>
      <c r="L26" s="49"/>
      <c r="M26" s="87" t="s">
        <v>54</v>
      </c>
      <c r="N26" s="22" t="s">
        <v>55</v>
      </c>
      <c r="O26" s="22" t="s">
        <v>56</v>
      </c>
      <c r="P26" s="48" t="s">
        <v>54</v>
      </c>
      <c r="Q26" s="48" t="s">
        <v>57</v>
      </c>
      <c r="R26" s="49"/>
      <c r="S26" s="49"/>
      <c r="T26" s="49"/>
      <c r="U26" s="49"/>
      <c r="V26" s="88" t="s">
        <v>58</v>
      </c>
      <c r="W26" s="50"/>
      <c r="X26" s="49"/>
      <c r="Z26" s="49"/>
      <c r="AB26" s="49"/>
      <c r="AC26" s="49"/>
      <c r="AD26" s="49"/>
      <c r="AE26" s="49"/>
      <c r="AF26" s="49"/>
      <c r="AG26" s="49"/>
      <c r="AH26" s="49"/>
      <c r="AI26" s="90" t="s">
        <v>59</v>
      </c>
      <c r="AJ26" s="92" t="s">
        <v>60</v>
      </c>
      <c r="AK26" s="51" t="s">
        <v>61</v>
      </c>
      <c r="AL26" s="22" t="s">
        <v>62</v>
      </c>
      <c r="AM26" s="49"/>
    </row>
    <row r="27" spans="1:40" ht="22.5" customHeight="1" thickBot="1" x14ac:dyDescent="0.4">
      <c r="A27" s="52"/>
      <c r="B27" s="53"/>
      <c r="C27" s="53"/>
      <c r="D27" s="53"/>
      <c r="E27" s="86"/>
      <c r="F27" s="54">
        <v>0.5</v>
      </c>
      <c r="G27" s="54" t="s">
        <v>63</v>
      </c>
      <c r="H27" s="30">
        <v>0.5</v>
      </c>
      <c r="I27" s="54" t="s">
        <v>64</v>
      </c>
      <c r="J27" s="49"/>
      <c r="K27" s="49"/>
      <c r="L27" s="49"/>
      <c r="M27" s="87"/>
      <c r="N27" s="54">
        <v>0.5</v>
      </c>
      <c r="O27" s="54" t="s">
        <v>65</v>
      </c>
      <c r="P27" s="30">
        <v>0.5</v>
      </c>
      <c r="Q27" s="30" t="s">
        <v>66</v>
      </c>
      <c r="R27" s="49"/>
      <c r="S27" s="49"/>
      <c r="T27" s="49"/>
      <c r="U27" s="49"/>
      <c r="V27" s="89"/>
      <c r="W27" s="50"/>
      <c r="X27" s="49"/>
      <c r="Z27" s="49"/>
      <c r="AB27" s="49"/>
      <c r="AC27" s="49"/>
      <c r="AD27" s="49"/>
      <c r="AE27" s="49"/>
      <c r="AF27" s="49"/>
      <c r="AG27" s="49"/>
      <c r="AH27" s="49"/>
      <c r="AI27" s="91"/>
      <c r="AJ27" s="93"/>
      <c r="AK27" s="55">
        <v>0</v>
      </c>
      <c r="AL27" s="30">
        <v>1</v>
      </c>
      <c r="AM27" s="49"/>
    </row>
    <row r="28" spans="1:40" x14ac:dyDescent="0.35">
      <c r="A28" s="56" t="s">
        <v>67</v>
      </c>
      <c r="B28" s="57">
        <v>6200</v>
      </c>
      <c r="C28" s="58">
        <v>470</v>
      </c>
      <c r="D28" s="59">
        <f>$B$14</f>
        <v>9000</v>
      </c>
      <c r="E28" s="59">
        <v>25</v>
      </c>
      <c r="F28" s="60">
        <f>D28*$C$23*$F$27</f>
        <v>364500</v>
      </c>
      <c r="G28" s="60">
        <f>((AI28+AJ28)-M28)*(F28*$B$10/365)</f>
        <v>25345.232876712325</v>
      </c>
      <c r="H28" s="60">
        <f>D28*$C$23*$H$27</f>
        <v>364500</v>
      </c>
      <c r="I28" s="60">
        <f>IF(((AI28+AJ28)-M28-E28)*(H28*$B$10/365)&lt;0,0,((AI28+AJ28)-M28-E28)*(H28*$B$10/365))</f>
        <v>18604.479452054795</v>
      </c>
      <c r="J28" s="57">
        <v>67</v>
      </c>
      <c r="K28" s="58">
        <f>((B28+C28)*J28)+((B28+C28)*J28)*2%</f>
        <v>455827.8</v>
      </c>
      <c r="L28" s="57">
        <f>K28*($C$24*4%+$C$24)</f>
        <v>5271983.9962608004</v>
      </c>
      <c r="M28" s="57">
        <v>21</v>
      </c>
      <c r="N28" s="58">
        <f>L28*$N$27</f>
        <v>2635991.9981304002</v>
      </c>
      <c r="O28" s="58">
        <f ca="1">IF(N28&gt;AK28,(AI28+AJ28)*((N28-AK28)*($B$10/365)),0)</f>
        <v>224239.86723821625</v>
      </c>
      <c r="P28" s="58">
        <f>L28*$P$27</f>
        <v>2635991.9981304002</v>
      </c>
      <c r="Q28" s="58">
        <f ca="1">IF((AK28-N28)&lt;0,IF(P28&gt;(AK28-N28),(AI28+AJ28-M28)*((P28)*($B$10/365)),0),(AI28+AJ28-M28)*((P28)*($B$10/365)))</f>
        <v>183291.71756862893</v>
      </c>
      <c r="R28" s="58">
        <f>L28*0.6%</f>
        <v>31631.903977564802</v>
      </c>
      <c r="S28" s="58">
        <v>20000</v>
      </c>
      <c r="T28" s="58">
        <v>20000</v>
      </c>
      <c r="U28" s="61">
        <f ca="1">G28+I28+O28+Q28+((AI28+AJ28)*((R28+S28+T28)*$B$10/365))</f>
        <v>457574.91526849836</v>
      </c>
      <c r="V28" s="21">
        <f ca="1">(((T28+S28+R28+L28+(D28*$C$23))/J28)/$C$24)+(U28/$C$24/J28)+W28</f>
        <v>9505.5259041212903</v>
      </c>
      <c r="W28" s="21">
        <f>B28*$B$15</f>
        <v>741.34903356189875</v>
      </c>
      <c r="X28" s="62">
        <f ca="1">V28*AB28</f>
        <v>1425.8288856181935</v>
      </c>
      <c r="Z28" s="61">
        <f ca="1">V28+X28</f>
        <v>10931.354789739484</v>
      </c>
      <c r="AB28" s="30">
        <v>0.15</v>
      </c>
      <c r="AC28" s="63">
        <v>0</v>
      </c>
      <c r="AD28" s="64">
        <v>0</v>
      </c>
      <c r="AE28" s="65">
        <f ca="1">(Z28-Z28*AC28)+AD28</f>
        <v>10931.354789739484</v>
      </c>
      <c r="AF28" s="66"/>
      <c r="AG28" s="62">
        <f ca="1">AE28*J28</f>
        <v>732400.77091254538</v>
      </c>
      <c r="AH28" s="62">
        <f ca="1">AG28*($C$24+$B$12)</f>
        <v>8159603.7486595772</v>
      </c>
      <c r="AI28" s="67">
        <v>55</v>
      </c>
      <c r="AJ28" s="67">
        <f>$B$21</f>
        <v>60</v>
      </c>
      <c r="AK28" s="62">
        <f ca="1">AE28*J28*($C$24+2%)*$AK$27</f>
        <v>0</v>
      </c>
      <c r="AL28" s="62">
        <f ca="1">AE28*J28*($C$24+2%)*$AL$27</f>
        <v>8159603.7486595772</v>
      </c>
      <c r="AM28" s="80">
        <v>10960</v>
      </c>
      <c r="AN28" s="68"/>
    </row>
    <row r="29" spans="1:40" x14ac:dyDescent="0.35">
      <c r="A29" s="56" t="s">
        <v>67</v>
      </c>
      <c r="B29" s="69">
        <v>6200</v>
      </c>
      <c r="C29" s="58">
        <v>470</v>
      </c>
      <c r="D29" s="60">
        <f>$B$14</f>
        <v>9000</v>
      </c>
      <c r="E29" s="60">
        <v>25</v>
      </c>
      <c r="F29" s="60">
        <f>D29*$C$23*$F$27</f>
        <v>364500</v>
      </c>
      <c r="G29" s="60">
        <f>((AI29+AJ29)-M29)*(F29*$B$10/365)</f>
        <v>25345.232876712325</v>
      </c>
      <c r="H29" s="60">
        <f>D29*$C$23*$H$27</f>
        <v>364500</v>
      </c>
      <c r="I29" s="60">
        <f>IF(((AI29+AJ29)-M29-E29)*(H29*$B$10/365)&lt;0,0,((AI29+AJ29)-M29-E29)*(H29*$B$10/365))</f>
        <v>18604.479452054795</v>
      </c>
      <c r="J29" s="70">
        <v>67</v>
      </c>
      <c r="K29" s="58">
        <f>((B29+C29)*J29)+((B29+C29)*J29)*2%</f>
        <v>455827.8</v>
      </c>
      <c r="L29" s="58">
        <f>K29*($C$24*4%+$C$24)</f>
        <v>5271983.9962608004</v>
      </c>
      <c r="M29" s="58">
        <v>21</v>
      </c>
      <c r="N29" s="58">
        <f>L29*$N$27</f>
        <v>2635991.9981304002</v>
      </c>
      <c r="O29" s="58">
        <f ca="1">IF(N29&gt;AK29,(AI29+AJ29)*((N29-AK29)*($B$10/365)),0)</f>
        <v>224239.86723821625</v>
      </c>
      <c r="P29" s="58">
        <f>L29*$P$27</f>
        <v>2635991.9981304002</v>
      </c>
      <c r="Q29" s="58">
        <f ca="1">IF((AK29-N29)&lt;0,IF(P29&gt;(AK29-N29),(AI29+AJ29-M29)*((P29)*($B$10/365)),0),(AI29+AJ29-M29)*((P29)*($B$10/365)))</f>
        <v>183291.71756862893</v>
      </c>
      <c r="R29" s="58">
        <f>L29*0.6%</f>
        <v>31631.903977564802</v>
      </c>
      <c r="S29" s="58">
        <v>20000</v>
      </c>
      <c r="T29" s="58">
        <v>20000</v>
      </c>
      <c r="U29" s="61">
        <f ca="1">G29+I29+O29+Q29+((AI29+AJ29)*((R29+S29+T29)*$B$10/365))</f>
        <v>457574.91526849836</v>
      </c>
      <c r="V29" s="21">
        <f ca="1">(((T29+S29+R29+L29+(D29*$C$23))/J29)/$C$24)+(U29/$C$24/J29)+W29</f>
        <v>9505.5259041212903</v>
      </c>
      <c r="W29" s="21">
        <f>B29*$B$15</f>
        <v>741.34903356189875</v>
      </c>
      <c r="X29" s="62">
        <f ca="1">V29*AB29</f>
        <v>1454.4551123581568</v>
      </c>
      <c r="Z29" s="61">
        <f ca="1">V29+X29</f>
        <v>10959.981016479447</v>
      </c>
      <c r="AB29" s="30">
        <v>0.15301153529312375</v>
      </c>
      <c r="AC29" s="63">
        <v>0</v>
      </c>
      <c r="AD29" s="64">
        <v>0</v>
      </c>
      <c r="AE29" s="71">
        <f ca="1">(Z29-Z29*AC29)+AD29</f>
        <v>10959.981016479447</v>
      </c>
      <c r="AF29" s="66"/>
      <c r="AG29" s="62">
        <f ca="1">AE29*J29</f>
        <v>734318.72810412291</v>
      </c>
      <c r="AH29" s="62">
        <f ca="1">AG29*($C$24+$B$12)</f>
        <v>8180971.5179352229</v>
      </c>
      <c r="AI29" s="72">
        <v>55</v>
      </c>
      <c r="AJ29" s="67">
        <f>$B$21</f>
        <v>60</v>
      </c>
      <c r="AK29" s="62">
        <f ca="1">AE29*J29*($C$24+2%)*$AK$27</f>
        <v>0</v>
      </c>
      <c r="AL29" s="62">
        <f ca="1">AE29*J29*($C$24+2%)*$AL$27</f>
        <v>8180971.5179352229</v>
      </c>
      <c r="AM29" s="81"/>
      <c r="AN29" s="68"/>
    </row>
  </sheetData>
  <mergeCells count="9">
    <mergeCell ref="AM28:AM29"/>
    <mergeCell ref="F25:I25"/>
    <mergeCell ref="N25:Q25"/>
    <mergeCell ref="AK25:AL25"/>
    <mergeCell ref="E26:E27"/>
    <mergeCell ref="M26:M27"/>
    <mergeCell ref="V26:V27"/>
    <mergeCell ref="AI26:AI27"/>
    <mergeCell ref="AJ26:A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topLeftCell="Y10" workbookViewId="0">
      <selection activeCell="AE28" sqref="AE28"/>
    </sheetView>
  </sheetViews>
  <sheetFormatPr defaultRowHeight="14.5" outlineLevelRow="1" outlineLevelCol="1" x14ac:dyDescent="0.35"/>
  <cols>
    <col min="1" max="1" width="23.453125" bestFit="1" customWidth="1"/>
    <col min="2" max="2" width="15.26953125" style="19" customWidth="1"/>
    <col min="3" max="3" width="19.81640625" customWidth="1" outlineLevel="1"/>
    <col min="4" max="4" width="12.453125" customWidth="1" outlineLevel="1"/>
    <col min="5" max="5" width="15.54296875" style="3" customWidth="1" outlineLevel="1"/>
    <col min="6" max="6" width="22.6328125" customWidth="1" outlineLevel="1"/>
    <col min="7" max="7" width="19" customWidth="1" outlineLevel="1"/>
    <col min="8" max="8" width="16.26953125" customWidth="1" outlineLevel="1"/>
    <col min="9" max="9" width="16.6328125" customWidth="1" outlineLevel="1"/>
    <col min="10" max="10" width="18.6328125" customWidth="1" outlineLevel="1"/>
    <col min="11" max="11" width="20.1796875" customWidth="1" outlineLevel="1"/>
    <col min="12" max="12" width="17.26953125" customWidth="1" outlineLevel="1"/>
    <col min="13" max="13" width="15.81640625" style="3" customWidth="1" outlineLevel="1"/>
    <col min="14" max="18" width="17.26953125" customWidth="1" outlineLevel="1"/>
    <col min="19" max="19" width="16.26953125" customWidth="1" outlineLevel="1"/>
    <col min="20" max="20" width="15.7265625" customWidth="1" outlineLevel="1"/>
    <col min="21" max="21" width="19.08984375" customWidth="1" outlineLevel="1"/>
    <col min="22" max="23" width="18.90625" customWidth="1" outlineLevel="1"/>
    <col min="24" max="24" width="14.81640625" customWidth="1" outlineLevel="1"/>
    <col min="25" max="25" width="8.7265625" customWidth="1" outlineLevel="1"/>
    <col min="26" max="26" width="19.08984375" customWidth="1" outlineLevel="1"/>
    <col min="27" max="27" width="8.7265625" customWidth="1" outlineLevel="1"/>
    <col min="28" max="29" width="19.08984375" customWidth="1" outlineLevel="1"/>
    <col min="30" max="30" width="21.36328125" customWidth="1" outlineLevel="1"/>
    <col min="31" max="32" width="21.7265625" customWidth="1"/>
    <col min="33" max="36" width="16.7265625" customWidth="1"/>
    <col min="37" max="37" width="14.81640625" bestFit="1" customWidth="1"/>
    <col min="38" max="38" width="15.81640625" bestFit="1" customWidth="1"/>
    <col min="39" max="39" width="13.54296875" customWidth="1"/>
    <col min="40" max="40" width="12.54296875" bestFit="1" customWidth="1"/>
  </cols>
  <sheetData>
    <row r="1" spans="1:13" ht="43.5" x14ac:dyDescent="0.35">
      <c r="A1" s="1" t="s">
        <v>0</v>
      </c>
      <c r="B1" s="2" t="s">
        <v>1</v>
      </c>
      <c r="C1" s="1" t="s">
        <v>2</v>
      </c>
      <c r="D1" s="2" t="s">
        <v>1</v>
      </c>
      <c r="E1" s="3" t="s">
        <v>3</v>
      </c>
      <c r="F1" s="4" t="s">
        <v>4</v>
      </c>
      <c r="H1" s="1" t="s">
        <v>5</v>
      </c>
      <c r="J1" s="74"/>
    </row>
    <row r="2" spans="1:13" hidden="1" outlineLevel="1" x14ac:dyDescent="0.35">
      <c r="A2" s="5"/>
      <c r="B2" s="6" t="s">
        <v>6</v>
      </c>
      <c r="C2" s="5">
        <v>10669211.68</v>
      </c>
      <c r="D2" s="6" t="s">
        <v>6</v>
      </c>
      <c r="E2" s="7">
        <v>122091981.08</v>
      </c>
      <c r="F2" s="8">
        <v>9</v>
      </c>
      <c r="G2" s="9"/>
      <c r="H2" s="5"/>
      <c r="J2" s="74"/>
    </row>
    <row r="3" spans="1:13" hidden="1" outlineLevel="1" x14ac:dyDescent="0.35">
      <c r="A3" s="5"/>
      <c r="B3" s="6" t="s">
        <v>7</v>
      </c>
      <c r="C3" s="5">
        <v>638856.24</v>
      </c>
      <c r="D3" s="6" t="s">
        <v>7</v>
      </c>
      <c r="E3" s="7">
        <v>61777335.299999997</v>
      </c>
      <c r="F3" s="8">
        <v>9</v>
      </c>
      <c r="G3" s="9"/>
      <c r="H3" s="5"/>
      <c r="J3" s="74"/>
    </row>
    <row r="4" spans="1:13" collapsed="1" x14ac:dyDescent="0.35">
      <c r="A4" s="5">
        <f>19987000*1.1</f>
        <v>21985700</v>
      </c>
      <c r="B4" s="6" t="s">
        <v>8</v>
      </c>
      <c r="C4" s="5">
        <f>(E2+E3)</f>
        <v>183869316.38</v>
      </c>
      <c r="D4" s="6" t="s">
        <v>8</v>
      </c>
      <c r="E4" s="7"/>
      <c r="F4" s="8">
        <v>9</v>
      </c>
      <c r="H4" s="5">
        <f>A4/F4</f>
        <v>2442855.5555555555</v>
      </c>
      <c r="J4" s="75"/>
    </row>
    <row r="5" spans="1:13" x14ac:dyDescent="0.35">
      <c r="B5"/>
      <c r="E5"/>
      <c r="J5" s="74"/>
      <c r="M5"/>
    </row>
    <row r="6" spans="1:13" x14ac:dyDescent="0.35">
      <c r="A6" s="1" t="s">
        <v>9</v>
      </c>
      <c r="B6"/>
      <c r="E6"/>
      <c r="J6" s="74"/>
      <c r="M6"/>
    </row>
    <row r="7" spans="1:13" x14ac:dyDescent="0.35">
      <c r="A7" s="10" t="s">
        <v>10</v>
      </c>
      <c r="B7" s="11">
        <v>470</v>
      </c>
      <c r="C7" s="12" t="s">
        <v>6</v>
      </c>
      <c r="E7"/>
      <c r="J7" s="74"/>
      <c r="M7"/>
    </row>
    <row r="8" spans="1:13" x14ac:dyDescent="0.35">
      <c r="B8" s="11">
        <v>100</v>
      </c>
      <c r="C8" s="12" t="s">
        <v>7</v>
      </c>
      <c r="E8"/>
      <c r="M8"/>
    </row>
    <row r="9" spans="1:13" x14ac:dyDescent="0.35">
      <c r="A9" s="10" t="s">
        <v>11</v>
      </c>
      <c r="B9" s="13">
        <v>0.02</v>
      </c>
      <c r="C9" s="12"/>
      <c r="E9"/>
      <c r="M9"/>
    </row>
    <row r="10" spans="1:13" x14ac:dyDescent="0.35">
      <c r="A10" s="10" t="s">
        <v>12</v>
      </c>
      <c r="B10" s="13">
        <v>0.27</v>
      </c>
    </row>
    <row r="11" spans="1:13" ht="15" thickBot="1" x14ac:dyDescent="0.4">
      <c r="B11" s="13">
        <v>0.05</v>
      </c>
    </row>
    <row r="12" spans="1:13" ht="29.5" thickBot="1" x14ac:dyDescent="0.4">
      <c r="A12" s="14" t="s">
        <v>13</v>
      </c>
      <c r="B12" s="15">
        <v>0.02</v>
      </c>
    </row>
    <row r="13" spans="1:13" ht="29.5" thickBot="1" x14ac:dyDescent="0.4">
      <c r="A13" s="14" t="s">
        <v>14</v>
      </c>
      <c r="B13" s="16">
        <f>55000/C23</f>
        <v>679.01234567901236</v>
      </c>
    </row>
    <row r="14" spans="1:13" ht="15" thickBot="1" x14ac:dyDescent="0.4">
      <c r="A14" s="14" t="s">
        <v>15</v>
      </c>
      <c r="B14" s="16">
        <v>9000</v>
      </c>
    </row>
    <row r="15" spans="1:13" ht="29" x14ac:dyDescent="0.35">
      <c r="A15" s="17" t="s">
        <v>16</v>
      </c>
      <c r="B15" s="18">
        <f>A4/C4</f>
        <v>0.11957242476804819</v>
      </c>
      <c r="K15" s="74"/>
      <c r="L15" s="74"/>
    </row>
    <row r="16" spans="1:13" x14ac:dyDescent="0.35">
      <c r="K16" s="74"/>
      <c r="L16" s="74"/>
    </row>
    <row r="17" spans="1:40" x14ac:dyDescent="0.35">
      <c r="A17" s="79" t="s">
        <v>69</v>
      </c>
      <c r="B17" s="6" t="s">
        <v>70</v>
      </c>
      <c r="K17" s="74"/>
      <c r="L17" s="74"/>
    </row>
    <row r="18" spans="1:40" x14ac:dyDescent="0.35">
      <c r="A18" s="79" t="s">
        <v>71</v>
      </c>
      <c r="B18" s="6" t="s">
        <v>72</v>
      </c>
      <c r="G18" s="20"/>
      <c r="K18" s="74"/>
      <c r="L18" s="74"/>
    </row>
    <row r="19" spans="1:40" x14ac:dyDescent="0.35">
      <c r="A19" s="79" t="s">
        <v>11</v>
      </c>
      <c r="B19" s="6" t="s">
        <v>72</v>
      </c>
      <c r="G19" s="20"/>
      <c r="K19" s="74"/>
      <c r="L19" s="74"/>
    </row>
    <row r="20" spans="1:40" x14ac:dyDescent="0.35">
      <c r="A20" s="79" t="s">
        <v>73</v>
      </c>
      <c r="B20" s="6" t="s">
        <v>72</v>
      </c>
      <c r="G20" s="20"/>
      <c r="K20" s="74"/>
      <c r="L20" s="74"/>
    </row>
    <row r="21" spans="1:40" ht="29" x14ac:dyDescent="0.35">
      <c r="A21" s="79" t="s">
        <v>75</v>
      </c>
      <c r="B21" s="6">
        <v>0</v>
      </c>
      <c r="K21" s="73"/>
      <c r="L21" s="74"/>
    </row>
    <row r="22" spans="1:40" x14ac:dyDescent="0.35">
      <c r="B22" s="78" t="s">
        <v>17</v>
      </c>
      <c r="C22" s="22">
        <v>94.94</v>
      </c>
      <c r="K22" s="73"/>
      <c r="L22" s="74"/>
    </row>
    <row r="23" spans="1:40" ht="49" customHeight="1" x14ac:dyDescent="0.35">
      <c r="A23" s="23" t="s">
        <v>18</v>
      </c>
      <c r="B23" s="22" t="s">
        <v>19</v>
      </c>
      <c r="C23" s="22">
        <v>81</v>
      </c>
      <c r="F23" s="24"/>
      <c r="G23" s="24">
        <f>4*65*12</f>
        <v>3120</v>
      </c>
      <c r="H23" s="24"/>
      <c r="I23" s="24"/>
      <c r="J23" s="8" t="s">
        <v>20</v>
      </c>
      <c r="K23" s="74"/>
      <c r="L23" s="74"/>
    </row>
    <row r="24" spans="1:40" x14ac:dyDescent="0.35">
      <c r="A24" s="25"/>
      <c r="B24" s="26" t="s">
        <v>21</v>
      </c>
      <c r="C24" s="27">
        <v>11.120900000000001</v>
      </c>
      <c r="D24" s="28"/>
      <c r="E24" s="28"/>
      <c r="F24" s="24"/>
      <c r="G24" s="24"/>
      <c r="H24" s="24"/>
      <c r="I24" s="24">
        <v>49</v>
      </c>
      <c r="J24" s="8">
        <v>1</v>
      </c>
      <c r="Q24" s="68">
        <f ca="1">AK28-N28</f>
        <v>1226777.8143155156</v>
      </c>
      <c r="U24" s="29"/>
      <c r="Z24" s="30"/>
      <c r="AB24" s="29" t="s">
        <v>22</v>
      </c>
      <c r="AC24" s="29"/>
      <c r="AI24" s="31"/>
      <c r="AJ24" s="31"/>
    </row>
    <row r="25" spans="1:40" s="41" customFormat="1" ht="60.5" customHeight="1" thickBot="1" x14ac:dyDescent="0.4">
      <c r="A25" s="32" t="s">
        <v>23</v>
      </c>
      <c r="B25" s="33" t="s">
        <v>24</v>
      </c>
      <c r="C25" s="34" t="s">
        <v>25</v>
      </c>
      <c r="D25" s="34" t="s">
        <v>26</v>
      </c>
      <c r="E25" s="35" t="s">
        <v>27</v>
      </c>
      <c r="F25" s="82" t="s">
        <v>28</v>
      </c>
      <c r="G25" s="83"/>
      <c r="H25" s="83"/>
      <c r="I25" s="84"/>
      <c r="J25" s="36" t="s">
        <v>29</v>
      </c>
      <c r="K25" s="36" t="s">
        <v>30</v>
      </c>
      <c r="L25" s="34" t="s">
        <v>31</v>
      </c>
      <c r="M25" s="37" t="s">
        <v>32</v>
      </c>
      <c r="N25" s="82" t="s">
        <v>33</v>
      </c>
      <c r="O25" s="83"/>
      <c r="P25" s="83"/>
      <c r="Q25" s="84"/>
      <c r="R25" s="34" t="s">
        <v>34</v>
      </c>
      <c r="S25" s="34" t="s">
        <v>35</v>
      </c>
      <c r="T25" s="34" t="s">
        <v>36</v>
      </c>
      <c r="U25" s="38" t="s">
        <v>37</v>
      </c>
      <c r="V25" s="39" t="s">
        <v>68</v>
      </c>
      <c r="W25" s="39" t="s">
        <v>38</v>
      </c>
      <c r="X25" s="40" t="s">
        <v>39</v>
      </c>
      <c r="Z25" s="38" t="s">
        <v>40</v>
      </c>
      <c r="AB25" s="77" t="s">
        <v>22</v>
      </c>
      <c r="AC25" s="42" t="s">
        <v>41</v>
      </c>
      <c r="AD25" s="43" t="s">
        <v>42</v>
      </c>
      <c r="AE25" s="44" t="s">
        <v>43</v>
      </c>
      <c r="AF25" s="44"/>
      <c r="AG25" s="45" t="s">
        <v>44</v>
      </c>
      <c r="AH25" s="45" t="s">
        <v>45</v>
      </c>
      <c r="AI25" s="46" t="s">
        <v>46</v>
      </c>
      <c r="AJ25" s="46" t="s">
        <v>47</v>
      </c>
      <c r="AK25" s="82" t="s">
        <v>48</v>
      </c>
      <c r="AL25" s="84"/>
      <c r="AM25" s="40" t="s">
        <v>49</v>
      </c>
    </row>
    <row r="26" spans="1:40" ht="22" customHeight="1" x14ac:dyDescent="0.35">
      <c r="A26" s="47"/>
      <c r="B26" s="47"/>
      <c r="C26" s="47"/>
      <c r="D26" s="47"/>
      <c r="E26" s="85"/>
      <c r="F26" s="22" t="s">
        <v>50</v>
      </c>
      <c r="G26" s="22" t="s">
        <v>51</v>
      </c>
      <c r="H26" s="76" t="s">
        <v>52</v>
      </c>
      <c r="I26" s="76" t="s">
        <v>53</v>
      </c>
      <c r="J26" s="49"/>
      <c r="K26" s="49"/>
      <c r="L26" s="49"/>
      <c r="M26" s="87" t="s">
        <v>54</v>
      </c>
      <c r="N26" s="22" t="s">
        <v>55</v>
      </c>
      <c r="O26" s="22" t="s">
        <v>56</v>
      </c>
      <c r="P26" s="76" t="s">
        <v>54</v>
      </c>
      <c r="Q26" s="76" t="s">
        <v>57</v>
      </c>
      <c r="R26" s="49"/>
      <c r="S26" s="49"/>
      <c r="T26" s="49"/>
      <c r="U26" s="49"/>
      <c r="V26" s="88" t="s">
        <v>58</v>
      </c>
      <c r="W26" s="50"/>
      <c r="X26" s="49"/>
      <c r="Z26" s="49"/>
      <c r="AB26" s="49"/>
      <c r="AC26" s="49"/>
      <c r="AD26" s="49"/>
      <c r="AE26" s="49"/>
      <c r="AF26" s="49"/>
      <c r="AG26" s="49"/>
      <c r="AH26" s="49"/>
      <c r="AI26" s="90" t="s">
        <v>59</v>
      </c>
      <c r="AJ26" s="92" t="s">
        <v>60</v>
      </c>
      <c r="AK26" s="51" t="s">
        <v>61</v>
      </c>
      <c r="AL26" s="22" t="s">
        <v>62</v>
      </c>
      <c r="AM26" s="49"/>
    </row>
    <row r="27" spans="1:40" ht="22.5" customHeight="1" thickBot="1" x14ac:dyDescent="0.4">
      <c r="A27" s="52"/>
      <c r="B27" s="53"/>
      <c r="C27" s="53"/>
      <c r="D27" s="53"/>
      <c r="E27" s="86"/>
      <c r="F27" s="54">
        <v>0.5</v>
      </c>
      <c r="G27" s="54" t="s">
        <v>63</v>
      </c>
      <c r="H27" s="30">
        <v>0.5</v>
      </c>
      <c r="I27" s="54" t="s">
        <v>64</v>
      </c>
      <c r="J27" s="49"/>
      <c r="K27" s="49"/>
      <c r="L27" s="49"/>
      <c r="M27" s="87"/>
      <c r="N27" s="54">
        <v>0.5</v>
      </c>
      <c r="O27" s="54" t="s">
        <v>65</v>
      </c>
      <c r="P27" s="30">
        <v>0.5</v>
      </c>
      <c r="Q27" s="30" t="s">
        <v>66</v>
      </c>
      <c r="R27" s="49"/>
      <c r="S27" s="49"/>
      <c r="T27" s="49"/>
      <c r="U27" s="49"/>
      <c r="V27" s="89"/>
      <c r="W27" s="50"/>
      <c r="X27" s="49"/>
      <c r="Z27" s="49"/>
      <c r="AB27" s="49"/>
      <c r="AC27" s="49"/>
      <c r="AD27" s="49"/>
      <c r="AE27" s="49"/>
      <c r="AF27" s="49"/>
      <c r="AG27" s="49"/>
      <c r="AH27" s="49"/>
      <c r="AI27" s="91"/>
      <c r="AJ27" s="93"/>
      <c r="AK27" s="55">
        <v>0.5</v>
      </c>
      <c r="AL27" s="30">
        <v>0.5</v>
      </c>
      <c r="AM27" s="49"/>
    </row>
    <row r="28" spans="1:40" x14ac:dyDescent="0.35">
      <c r="A28" s="56" t="s">
        <v>67</v>
      </c>
      <c r="B28" s="57">
        <v>6200</v>
      </c>
      <c r="C28" s="58">
        <v>470</v>
      </c>
      <c r="D28" s="59">
        <f>$B$14</f>
        <v>9000</v>
      </c>
      <c r="E28" s="59">
        <v>25</v>
      </c>
      <c r="F28" s="60">
        <f>D28*$C$23*$F$27</f>
        <v>364500</v>
      </c>
      <c r="G28" s="60">
        <f>((AI28+AJ28)-M28)*(F28*$B$10/365)</f>
        <v>9167.4246575342459</v>
      </c>
      <c r="H28" s="60">
        <f>D28*$C$23*$H$27</f>
        <v>364500</v>
      </c>
      <c r="I28" s="60">
        <f>IF(((AI28+AJ28)-M28-E28)*(H28*$B$10/365)&lt;0,0,((AI28+AJ28)-M28-E28)*(H28*$B$10/365))</f>
        <v>2426.6712328767121</v>
      </c>
      <c r="J28" s="57">
        <v>67</v>
      </c>
      <c r="K28" s="58">
        <f>((B28+C28)*J28)+((B28+C28)*J28)*2%</f>
        <v>455827.8</v>
      </c>
      <c r="L28" s="57">
        <f>K28*($C$24*4%+$C$24)</f>
        <v>5271983.9962608004</v>
      </c>
      <c r="M28" s="57">
        <v>21</v>
      </c>
      <c r="N28" s="58">
        <f>L28*$N$27</f>
        <v>2635991.9981304002</v>
      </c>
      <c r="O28" s="58">
        <f ca="1">IF(N28&gt;AK28,(AI28+AJ28)*((N28-AK28)*($B$10/365)),0)</f>
        <v>0</v>
      </c>
      <c r="P28" s="58">
        <f>L28*$P$27</f>
        <v>2635991.9981304002</v>
      </c>
      <c r="Q28" s="58">
        <f ca="1">IF((AK28-N28)&lt;0,IF(P28&gt;(AK28-N28),(AI28+AJ28-M28)*((P28)*($B$10/365)),0),(AI28+AJ28-M28)*((P28)*($B$10/365)))</f>
        <v>66297.004226950885</v>
      </c>
      <c r="R28" s="58">
        <f>L28*0.6%</f>
        <v>31631.903977564802</v>
      </c>
      <c r="S28" s="58">
        <v>20000</v>
      </c>
      <c r="T28" s="58">
        <v>20000</v>
      </c>
      <c r="U28" s="61">
        <f ca="1">G28+I28+O28+Q28+((AI28+AJ28)*((R28+S28+T28)*$B$10/365))</f>
        <v>80805.439224394271</v>
      </c>
      <c r="V28" s="21">
        <f ca="1">(((T28+S28+R28+L28+(D28*$C$23))/J28)/$C$24)+(U28/$C$24/J28)+W28</f>
        <v>8999.8631416125318</v>
      </c>
      <c r="W28" s="21">
        <f>B28*$B$15</f>
        <v>741.34903356189875</v>
      </c>
      <c r="X28" s="62">
        <f ca="1">V28*AB28</f>
        <v>1349.9794712418798</v>
      </c>
      <c r="Z28" s="61">
        <f ca="1">V28+X28</f>
        <v>10349.842612854412</v>
      </c>
      <c r="AB28" s="30">
        <v>0.15</v>
      </c>
      <c r="AC28" s="63">
        <v>0</v>
      </c>
      <c r="AD28" s="64">
        <v>0</v>
      </c>
      <c r="AE28" s="65">
        <f ca="1">(Z28-Z28*AC28)+AD28</f>
        <v>10349.842612854412</v>
      </c>
      <c r="AF28" s="66"/>
      <c r="AG28" s="62">
        <f ca="1">AE28*J28</f>
        <v>693439.45506124559</v>
      </c>
      <c r="AH28" s="62">
        <f ca="1">AG28*($C$24+$B$12)</f>
        <v>7725539.6248918315</v>
      </c>
      <c r="AI28" s="67">
        <v>55</v>
      </c>
      <c r="AJ28" s="67">
        <f>$B$21</f>
        <v>0</v>
      </c>
      <c r="AK28" s="62">
        <f ca="1">AE28*J28*($C$24+2%)*$AK$27</f>
        <v>3862769.8124459158</v>
      </c>
      <c r="AL28" s="62">
        <f ca="1">AE28*J28*($C$24+2%)*$AL$27</f>
        <v>3862769.8124459158</v>
      </c>
      <c r="AM28" s="80">
        <v>10960</v>
      </c>
      <c r="AN28" s="68"/>
    </row>
    <row r="29" spans="1:40" x14ac:dyDescent="0.35">
      <c r="A29" s="56" t="s">
        <v>67</v>
      </c>
      <c r="B29" s="69">
        <v>6200</v>
      </c>
      <c r="C29" s="58">
        <v>470</v>
      </c>
      <c r="D29" s="60">
        <f>$B$14</f>
        <v>9000</v>
      </c>
      <c r="E29" s="60">
        <v>25</v>
      </c>
      <c r="F29" s="60">
        <f>D29*$C$23*$F$27</f>
        <v>364500</v>
      </c>
      <c r="G29" s="60">
        <f>((AI29+AJ29)-M29)*(F29*$B$10/365)</f>
        <v>9167.4246575342459</v>
      </c>
      <c r="H29" s="60">
        <f>D29*$C$23*$H$27</f>
        <v>364500</v>
      </c>
      <c r="I29" s="60">
        <f>IF(((AI29+AJ29)-M29-E29)*(H29*$B$10/365)&lt;0,0,((AI29+AJ29)-M29-E29)*(H29*$B$10/365))</f>
        <v>2426.6712328767121</v>
      </c>
      <c r="J29" s="70">
        <v>67</v>
      </c>
      <c r="K29" s="58">
        <f>((B29+C29)*J29)+((B29+C29)*J29)*2%</f>
        <v>455827.8</v>
      </c>
      <c r="L29" s="58">
        <f>K29*($C$24*4%+$C$24)</f>
        <v>5271983.9962608004</v>
      </c>
      <c r="M29" s="58">
        <v>21</v>
      </c>
      <c r="N29" s="58">
        <f>L29*$N$27</f>
        <v>2635991.9981304002</v>
      </c>
      <c r="O29" s="58">
        <f ca="1">IF(N29&gt;AK29,(AI29+AJ29)*((N29-AK29)*($B$10/365)),0)</f>
        <v>0</v>
      </c>
      <c r="P29" s="58">
        <f>L29*$P$27</f>
        <v>2635991.9981304002</v>
      </c>
      <c r="Q29" s="58">
        <f ca="1">IF((AK29-N29)&lt;0,IF(P29&gt;(AK29-N29),(AI29+AJ29-M29)*((P29)*($B$10/365)),0),(AI29+AJ29-M29)*((P29)*($B$10/365)))</f>
        <v>66297.004226950885</v>
      </c>
      <c r="R29" s="58">
        <f>L29*0.6%</f>
        <v>31631.903977564802</v>
      </c>
      <c r="S29" s="58">
        <v>20000</v>
      </c>
      <c r="T29" s="58">
        <v>20000</v>
      </c>
      <c r="U29" s="61">
        <f ca="1">G29+I29+O29+Q29+((AI29+AJ29)*((R29+S29+T29)*$B$10/365))</f>
        <v>80805.439224394271</v>
      </c>
      <c r="V29" s="21">
        <f ca="1">(((T29+S29+R29+L29+(D29*$C$23))/J29)/$C$24)+(U29/$C$24/J29)+W29</f>
        <v>8999.8631416125318</v>
      </c>
      <c r="W29" s="21">
        <f>B29*$B$15</f>
        <v>741.34903356189875</v>
      </c>
      <c r="X29" s="62">
        <f ca="1">V29*AB29</f>
        <v>1377.0828767261296</v>
      </c>
      <c r="Z29" s="61">
        <f ca="1">V29+X29</f>
        <v>10376.946018338662</v>
      </c>
      <c r="AB29" s="30">
        <v>0.15301153529312375</v>
      </c>
      <c r="AC29" s="63">
        <v>0</v>
      </c>
      <c r="AD29" s="64">
        <v>0</v>
      </c>
      <c r="AE29" s="71">
        <f ca="1">(Z29-Z29*AC29)+AD29</f>
        <v>10376.946018338662</v>
      </c>
      <c r="AF29" s="66"/>
      <c r="AG29" s="62">
        <f ca="1">AE29*J29</f>
        <v>695255.38322869036</v>
      </c>
      <c r="AH29" s="62">
        <f ca="1">AG29*($C$24+$B$12)</f>
        <v>7745770.699012517</v>
      </c>
      <c r="AI29" s="72">
        <v>55</v>
      </c>
      <c r="AJ29" s="67">
        <f>$B$21</f>
        <v>0</v>
      </c>
      <c r="AK29" s="62">
        <f ca="1">AE29*J29*($C$24+2%)*$AK$27</f>
        <v>3872885.3495062585</v>
      </c>
      <c r="AL29" s="62">
        <f ca="1">AE29*J29*($C$24+2%)*$AL$27</f>
        <v>3872885.3495062585</v>
      </c>
      <c r="AM29" s="81"/>
      <c r="AN29" s="68"/>
    </row>
  </sheetData>
  <mergeCells count="9">
    <mergeCell ref="AM28:AM29"/>
    <mergeCell ref="F25:I25"/>
    <mergeCell ref="N25:Q25"/>
    <mergeCell ref="AK25:AL25"/>
    <mergeCell ref="E26:E27"/>
    <mergeCell ref="M26:M27"/>
    <mergeCell ref="V26:V27"/>
    <mergeCell ref="AI26:AI27"/>
    <mergeCell ref="AJ26:AJ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topLeftCell="W10" workbookViewId="0">
      <selection activeCell="AE28" sqref="AE28"/>
    </sheetView>
  </sheetViews>
  <sheetFormatPr defaultRowHeight="14.5" outlineLevelRow="1" outlineLevelCol="1" x14ac:dyDescent="0.35"/>
  <cols>
    <col min="1" max="1" width="23.453125" bestFit="1" customWidth="1"/>
    <col min="2" max="2" width="15.26953125" style="19" customWidth="1"/>
    <col min="3" max="3" width="25.7265625" bestFit="1" customWidth="1" outlineLevel="1"/>
    <col min="4" max="4" width="12.453125" customWidth="1" outlineLevel="1"/>
    <col min="5" max="5" width="15.54296875" style="3" customWidth="1" outlineLevel="1"/>
    <col min="6" max="6" width="22.6328125" customWidth="1" outlineLevel="1"/>
    <col min="7" max="7" width="19" customWidth="1" outlineLevel="1"/>
    <col min="8" max="8" width="16.26953125" customWidth="1" outlineLevel="1"/>
    <col min="9" max="9" width="16.6328125" customWidth="1" outlineLevel="1"/>
    <col min="10" max="10" width="18.6328125" customWidth="1" outlineLevel="1"/>
    <col min="11" max="11" width="20.1796875" customWidth="1" outlineLevel="1"/>
    <col min="12" max="12" width="17.26953125" customWidth="1" outlineLevel="1"/>
    <col min="13" max="13" width="15.81640625" style="3" customWidth="1" outlineLevel="1"/>
    <col min="14" max="18" width="17.26953125" customWidth="1" outlineLevel="1"/>
    <col min="19" max="19" width="16.26953125" customWidth="1" outlineLevel="1"/>
    <col min="20" max="20" width="15.7265625" customWidth="1" outlineLevel="1"/>
    <col min="21" max="21" width="19.08984375" customWidth="1" outlineLevel="1"/>
    <col min="22" max="23" width="18.90625" customWidth="1" outlineLevel="1"/>
    <col min="24" max="24" width="14.81640625" customWidth="1" outlineLevel="1"/>
    <col min="25" max="25" width="8.7265625" customWidth="1" outlineLevel="1"/>
    <col min="26" max="26" width="19.08984375" customWidth="1" outlineLevel="1"/>
    <col min="27" max="27" width="8.7265625" customWidth="1" outlineLevel="1"/>
    <col min="28" max="29" width="19.08984375" customWidth="1" outlineLevel="1"/>
    <col min="30" max="30" width="21.36328125" customWidth="1" outlineLevel="1"/>
    <col min="31" max="32" width="21.7265625" customWidth="1"/>
    <col min="33" max="36" width="16.7265625" customWidth="1"/>
    <col min="37" max="37" width="14.81640625" bestFit="1" customWidth="1"/>
    <col min="38" max="38" width="15.81640625" bestFit="1" customWidth="1"/>
    <col min="39" max="39" width="13.54296875" customWidth="1"/>
    <col min="40" max="40" width="12.54296875" bestFit="1" customWidth="1"/>
  </cols>
  <sheetData>
    <row r="1" spans="1:13" ht="43.5" x14ac:dyDescent="0.35">
      <c r="A1" s="1" t="s">
        <v>0</v>
      </c>
      <c r="B1" s="2" t="s">
        <v>1</v>
      </c>
      <c r="C1" s="1" t="s">
        <v>2</v>
      </c>
      <c r="D1" s="2" t="s">
        <v>1</v>
      </c>
      <c r="E1" s="3" t="s">
        <v>3</v>
      </c>
      <c r="F1" s="4" t="s">
        <v>4</v>
      </c>
      <c r="H1" s="1" t="s">
        <v>5</v>
      </c>
      <c r="J1" s="74"/>
    </row>
    <row r="2" spans="1:13" hidden="1" outlineLevel="1" x14ac:dyDescent="0.35">
      <c r="A2" s="5"/>
      <c r="B2" s="6" t="s">
        <v>6</v>
      </c>
      <c r="C2" s="5">
        <v>10669211.68</v>
      </c>
      <c r="D2" s="6" t="s">
        <v>6</v>
      </c>
      <c r="E2" s="7">
        <v>122091981.08</v>
      </c>
      <c r="F2" s="8">
        <v>9</v>
      </c>
      <c r="G2" s="9"/>
      <c r="H2" s="5"/>
      <c r="J2" s="74"/>
    </row>
    <row r="3" spans="1:13" hidden="1" outlineLevel="1" x14ac:dyDescent="0.35">
      <c r="A3" s="5"/>
      <c r="B3" s="6" t="s">
        <v>7</v>
      </c>
      <c r="C3" s="5">
        <v>638856.24</v>
      </c>
      <c r="D3" s="6" t="s">
        <v>7</v>
      </c>
      <c r="E3" s="7">
        <v>61777335.299999997</v>
      </c>
      <c r="F3" s="8">
        <v>9</v>
      </c>
      <c r="G3" s="9"/>
      <c r="H3" s="5"/>
      <c r="J3" s="74"/>
    </row>
    <row r="4" spans="1:13" collapsed="1" x14ac:dyDescent="0.35">
      <c r="A4" s="5">
        <f>19987000*1.1</f>
        <v>21985700</v>
      </c>
      <c r="B4" s="6" t="s">
        <v>8</v>
      </c>
      <c r="C4" s="5">
        <f>(E2+E3)</f>
        <v>183869316.38</v>
      </c>
      <c r="D4" s="6" t="s">
        <v>8</v>
      </c>
      <c r="E4" s="7"/>
      <c r="F4" s="8">
        <v>9</v>
      </c>
      <c r="H4" s="5">
        <f>A4/F4</f>
        <v>2442855.5555555555</v>
      </c>
      <c r="J4" s="75"/>
    </row>
    <row r="5" spans="1:13" x14ac:dyDescent="0.35">
      <c r="B5"/>
      <c r="E5"/>
      <c r="J5" s="74"/>
      <c r="M5"/>
    </row>
    <row r="6" spans="1:13" x14ac:dyDescent="0.35">
      <c r="A6" s="1" t="s">
        <v>9</v>
      </c>
      <c r="B6"/>
      <c r="E6"/>
      <c r="J6" s="74"/>
      <c r="M6"/>
    </row>
    <row r="7" spans="1:13" x14ac:dyDescent="0.35">
      <c r="A7" s="10" t="s">
        <v>10</v>
      </c>
      <c r="B7" s="11">
        <v>470</v>
      </c>
      <c r="C7" s="12" t="s">
        <v>6</v>
      </c>
      <c r="E7"/>
      <c r="J7" s="74"/>
      <c r="M7"/>
    </row>
    <row r="8" spans="1:13" x14ac:dyDescent="0.35">
      <c r="B8" s="11">
        <v>100</v>
      </c>
      <c r="C8" s="12" t="s">
        <v>7</v>
      </c>
      <c r="E8"/>
      <c r="M8"/>
    </row>
    <row r="9" spans="1:13" x14ac:dyDescent="0.35">
      <c r="A9" s="10" t="s">
        <v>11</v>
      </c>
      <c r="B9" s="13">
        <v>0.02</v>
      </c>
      <c r="C9" s="12"/>
      <c r="E9"/>
      <c r="M9"/>
    </row>
    <row r="10" spans="1:13" x14ac:dyDescent="0.35">
      <c r="A10" s="10" t="s">
        <v>12</v>
      </c>
      <c r="B10" s="13">
        <v>0.27</v>
      </c>
    </row>
    <row r="11" spans="1:13" ht="15" thickBot="1" x14ac:dyDescent="0.4">
      <c r="B11" s="13">
        <v>0.05</v>
      </c>
    </row>
    <row r="12" spans="1:13" ht="29.5" thickBot="1" x14ac:dyDescent="0.4">
      <c r="A12" s="14" t="s">
        <v>13</v>
      </c>
      <c r="B12" s="15">
        <v>0.02</v>
      </c>
    </row>
    <row r="13" spans="1:13" ht="29.5" thickBot="1" x14ac:dyDescent="0.4">
      <c r="A13" s="14" t="s">
        <v>14</v>
      </c>
      <c r="B13" s="16">
        <f>55000/C23</f>
        <v>679.01234567901236</v>
      </c>
    </row>
    <row r="14" spans="1:13" ht="15" thickBot="1" x14ac:dyDescent="0.4">
      <c r="A14" s="14" t="s">
        <v>15</v>
      </c>
      <c r="B14" s="16">
        <v>9000</v>
      </c>
    </row>
    <row r="15" spans="1:13" ht="29" x14ac:dyDescent="0.35">
      <c r="A15" s="17" t="s">
        <v>16</v>
      </c>
      <c r="B15" s="18">
        <f>A4/C4</f>
        <v>0.11957242476804819</v>
      </c>
      <c r="K15" s="74"/>
      <c r="L15" s="74"/>
    </row>
    <row r="16" spans="1:13" x14ac:dyDescent="0.35">
      <c r="K16" s="74"/>
      <c r="L16" s="74"/>
    </row>
    <row r="17" spans="1:40" x14ac:dyDescent="0.35">
      <c r="A17" s="79" t="s">
        <v>69</v>
      </c>
      <c r="B17" s="6" t="s">
        <v>70</v>
      </c>
      <c r="K17" s="74"/>
      <c r="L17" s="74"/>
    </row>
    <row r="18" spans="1:40" x14ac:dyDescent="0.35">
      <c r="A18" s="79" t="s">
        <v>71</v>
      </c>
      <c r="B18" s="6" t="s">
        <v>72</v>
      </c>
      <c r="G18" s="20"/>
      <c r="K18" s="74"/>
      <c r="L18" s="74"/>
    </row>
    <row r="19" spans="1:40" x14ac:dyDescent="0.35">
      <c r="A19" s="79" t="s">
        <v>11</v>
      </c>
      <c r="B19" s="6" t="s">
        <v>72</v>
      </c>
      <c r="G19" s="20"/>
      <c r="K19" s="74"/>
      <c r="L19" s="74"/>
    </row>
    <row r="20" spans="1:40" x14ac:dyDescent="0.35">
      <c r="A20" s="79" t="s">
        <v>73</v>
      </c>
      <c r="B20" s="6">
        <v>100</v>
      </c>
      <c r="C20" t="s">
        <v>76</v>
      </c>
      <c r="G20" s="20"/>
      <c r="K20" s="74"/>
      <c r="L20" s="74"/>
    </row>
    <row r="21" spans="1:40" ht="29" x14ac:dyDescent="0.35">
      <c r="A21" s="79" t="s">
        <v>75</v>
      </c>
      <c r="B21" s="6">
        <v>0</v>
      </c>
      <c r="K21" s="73"/>
      <c r="L21" s="74"/>
    </row>
    <row r="22" spans="1:40" x14ac:dyDescent="0.35">
      <c r="B22" s="78" t="s">
        <v>17</v>
      </c>
      <c r="C22" s="22">
        <v>94.94</v>
      </c>
      <c r="K22" s="73"/>
      <c r="L22" s="74"/>
    </row>
    <row r="23" spans="1:40" ht="49" customHeight="1" x14ac:dyDescent="0.35">
      <c r="A23" s="23" t="s">
        <v>18</v>
      </c>
      <c r="B23" s="22" t="s">
        <v>19</v>
      </c>
      <c r="C23" s="22">
        <v>81</v>
      </c>
      <c r="F23" s="24"/>
      <c r="G23" s="24">
        <f>4*65*12</f>
        <v>3120</v>
      </c>
      <c r="H23" s="24"/>
      <c r="I23" s="24"/>
      <c r="J23" s="8" t="s">
        <v>20</v>
      </c>
      <c r="K23" s="74"/>
      <c r="L23" s="74"/>
    </row>
    <row r="24" spans="1:40" x14ac:dyDescent="0.35">
      <c r="A24" s="25"/>
      <c r="B24" s="26" t="s">
        <v>21</v>
      </c>
      <c r="C24" s="27">
        <v>11.120900000000001</v>
      </c>
      <c r="D24" s="28"/>
      <c r="E24" s="28"/>
      <c r="F24" s="24"/>
      <c r="G24" s="24"/>
      <c r="H24" s="24"/>
      <c r="I24" s="24">
        <v>49</v>
      </c>
      <c r="J24" s="8">
        <v>1</v>
      </c>
      <c r="Q24" s="68">
        <f ca="1">AK28-N28</f>
        <v>-2635991.9981304002</v>
      </c>
      <c r="U24" s="29"/>
      <c r="Z24" s="30"/>
      <c r="AB24" s="29" t="s">
        <v>22</v>
      </c>
      <c r="AC24" s="29"/>
      <c r="AI24" s="31"/>
      <c r="AJ24" s="31"/>
    </row>
    <row r="25" spans="1:40" s="41" customFormat="1" ht="60.5" customHeight="1" thickBot="1" x14ac:dyDescent="0.4">
      <c r="A25" s="32" t="s">
        <v>23</v>
      </c>
      <c r="B25" s="33" t="s">
        <v>24</v>
      </c>
      <c r="C25" s="34" t="s">
        <v>25</v>
      </c>
      <c r="D25" s="34" t="s">
        <v>26</v>
      </c>
      <c r="E25" s="35" t="s">
        <v>27</v>
      </c>
      <c r="F25" s="82" t="s">
        <v>28</v>
      </c>
      <c r="G25" s="83"/>
      <c r="H25" s="83"/>
      <c r="I25" s="84"/>
      <c r="J25" s="36" t="s">
        <v>29</v>
      </c>
      <c r="K25" s="36" t="s">
        <v>30</v>
      </c>
      <c r="L25" s="34" t="s">
        <v>31</v>
      </c>
      <c r="M25" s="37" t="s">
        <v>32</v>
      </c>
      <c r="N25" s="82" t="s">
        <v>33</v>
      </c>
      <c r="O25" s="83"/>
      <c r="P25" s="83"/>
      <c r="Q25" s="84"/>
      <c r="R25" s="34" t="s">
        <v>34</v>
      </c>
      <c r="S25" s="34" t="s">
        <v>35</v>
      </c>
      <c r="T25" s="34" t="s">
        <v>36</v>
      </c>
      <c r="U25" s="38" t="s">
        <v>37</v>
      </c>
      <c r="V25" s="39" t="s">
        <v>68</v>
      </c>
      <c r="W25" s="39" t="s">
        <v>38</v>
      </c>
      <c r="X25" s="40" t="s">
        <v>39</v>
      </c>
      <c r="Z25" s="38" t="s">
        <v>40</v>
      </c>
      <c r="AB25" s="77" t="s">
        <v>22</v>
      </c>
      <c r="AC25" s="42" t="s">
        <v>41</v>
      </c>
      <c r="AD25" s="43" t="s">
        <v>42</v>
      </c>
      <c r="AE25" s="44" t="s">
        <v>43</v>
      </c>
      <c r="AF25" s="44"/>
      <c r="AG25" s="45" t="s">
        <v>44</v>
      </c>
      <c r="AH25" s="45" t="s">
        <v>45</v>
      </c>
      <c r="AI25" s="46" t="s">
        <v>46</v>
      </c>
      <c r="AJ25" s="46" t="s">
        <v>47</v>
      </c>
      <c r="AK25" s="82" t="s">
        <v>48</v>
      </c>
      <c r="AL25" s="84"/>
      <c r="AM25" s="40" t="s">
        <v>49</v>
      </c>
    </row>
    <row r="26" spans="1:40" ht="22" customHeight="1" x14ac:dyDescent="0.35">
      <c r="A26" s="47"/>
      <c r="B26" s="47"/>
      <c r="C26" s="47"/>
      <c r="D26" s="47"/>
      <c r="E26" s="85"/>
      <c r="F26" s="22" t="s">
        <v>50</v>
      </c>
      <c r="G26" s="22" t="s">
        <v>51</v>
      </c>
      <c r="H26" s="76" t="s">
        <v>52</v>
      </c>
      <c r="I26" s="76" t="s">
        <v>53</v>
      </c>
      <c r="J26" s="49"/>
      <c r="K26" s="49"/>
      <c r="L26" s="49"/>
      <c r="M26" s="87" t="s">
        <v>54</v>
      </c>
      <c r="N26" s="22" t="s">
        <v>55</v>
      </c>
      <c r="O26" s="22" t="s">
        <v>56</v>
      </c>
      <c r="P26" s="76" t="s">
        <v>54</v>
      </c>
      <c r="Q26" s="76" t="s">
        <v>57</v>
      </c>
      <c r="R26" s="49"/>
      <c r="S26" s="49"/>
      <c r="T26" s="49"/>
      <c r="U26" s="49"/>
      <c r="V26" s="88" t="s">
        <v>58</v>
      </c>
      <c r="W26" s="50"/>
      <c r="X26" s="49"/>
      <c r="Z26" s="49"/>
      <c r="AB26" s="49"/>
      <c r="AC26" s="49"/>
      <c r="AD26" s="49"/>
      <c r="AE26" s="49"/>
      <c r="AF26" s="49"/>
      <c r="AG26" s="49"/>
      <c r="AH26" s="49"/>
      <c r="AI26" s="90" t="s">
        <v>59</v>
      </c>
      <c r="AJ26" s="92" t="s">
        <v>60</v>
      </c>
      <c r="AK26" s="51" t="s">
        <v>61</v>
      </c>
      <c r="AL26" s="22" t="s">
        <v>62</v>
      </c>
      <c r="AM26" s="49"/>
    </row>
    <row r="27" spans="1:40" ht="22.5" customHeight="1" thickBot="1" x14ac:dyDescent="0.4">
      <c r="A27" s="52"/>
      <c r="B27" s="53"/>
      <c r="C27" s="53"/>
      <c r="D27" s="53"/>
      <c r="E27" s="86"/>
      <c r="F27" s="54">
        <v>0.5</v>
      </c>
      <c r="G27" s="54" t="s">
        <v>63</v>
      </c>
      <c r="H27" s="30">
        <v>0.5</v>
      </c>
      <c r="I27" s="54" t="s">
        <v>64</v>
      </c>
      <c r="J27" s="49"/>
      <c r="K27" s="49"/>
      <c r="L27" s="49"/>
      <c r="M27" s="87"/>
      <c r="N27" s="54">
        <v>0.5</v>
      </c>
      <c r="O27" s="54" t="s">
        <v>65</v>
      </c>
      <c r="P27" s="30">
        <v>0.5</v>
      </c>
      <c r="Q27" s="30" t="s">
        <v>66</v>
      </c>
      <c r="R27" s="49"/>
      <c r="S27" s="49"/>
      <c r="T27" s="49"/>
      <c r="U27" s="49"/>
      <c r="V27" s="89"/>
      <c r="W27" s="50"/>
      <c r="X27" s="49"/>
      <c r="Z27" s="49"/>
      <c r="AB27" s="49"/>
      <c r="AC27" s="49"/>
      <c r="AD27" s="49"/>
      <c r="AE27" s="49"/>
      <c r="AF27" s="49"/>
      <c r="AG27" s="49"/>
      <c r="AH27" s="49"/>
      <c r="AI27" s="91"/>
      <c r="AJ27" s="93"/>
      <c r="AK27" s="55">
        <v>0</v>
      </c>
      <c r="AL27" s="30">
        <v>1</v>
      </c>
      <c r="AM27" s="49"/>
    </row>
    <row r="28" spans="1:40" x14ac:dyDescent="0.35">
      <c r="A28" s="56" t="s">
        <v>67</v>
      </c>
      <c r="B28" s="57">
        <v>6200</v>
      </c>
      <c r="C28" s="58">
        <v>470</v>
      </c>
      <c r="D28" s="59">
        <f>$B$14</f>
        <v>9000</v>
      </c>
      <c r="E28" s="59">
        <v>25</v>
      </c>
      <c r="F28" s="60">
        <f>D28*$C$23*$F$27</f>
        <v>364500</v>
      </c>
      <c r="G28" s="60">
        <f>((AI28+AJ28)-M28)*(F28*$B$10/365)</f>
        <v>9167.4246575342459</v>
      </c>
      <c r="H28" s="60">
        <f>D28*$C$23*$H$27</f>
        <v>364500</v>
      </c>
      <c r="I28" s="60">
        <f>IF(((AI28+AJ28)-M28-E28)*(H28*$B$10/365)&lt;0,0,((AI28+AJ28)-M28-E28)*(H28*$B$10/365))</f>
        <v>2426.6712328767121</v>
      </c>
      <c r="J28" s="57">
        <v>67</v>
      </c>
      <c r="K28" s="58">
        <f>((B28+C28)*J28)+((B28+C28)*J28)*2%</f>
        <v>455827.8</v>
      </c>
      <c r="L28" s="57">
        <f>K28*($C$24*4%+$C$24)</f>
        <v>5271983.9962608004</v>
      </c>
      <c r="M28" s="57">
        <v>21</v>
      </c>
      <c r="N28" s="58">
        <f>L28*$N$27</f>
        <v>2635991.9981304002</v>
      </c>
      <c r="O28" s="58">
        <f ca="1">IF(N28&gt;AK28,(AI28+AJ28)*((N28-AK28)*($B$10/365)),0)</f>
        <v>107245.15389653821</v>
      </c>
      <c r="P28" s="58">
        <f>L28*$P$27</f>
        <v>2635991.9981304002</v>
      </c>
      <c r="Q28" s="58">
        <f ca="1">IF((AK28-N28)&lt;0,IF(P28&gt;(AK28-N28),(AI28+AJ28-M28)*((P28)*($B$10/365)),IF((AK28-N28-P28)&lt;0,(AI28+AJ28-M28)*((P28)*($B$10/365)),0)*0),0)</f>
        <v>66297.004226950885</v>
      </c>
      <c r="R28" s="58">
        <f>L28*0.6%</f>
        <v>31631.903977564802</v>
      </c>
      <c r="S28" s="58">
        <v>20000</v>
      </c>
      <c r="T28" s="58">
        <v>20000</v>
      </c>
      <c r="U28" s="61">
        <f ca="1">G28+I28+O28+Q28+((AI28+AJ28)*((R28+S28+T28)*$B$10/365))</f>
        <v>188050.59312093249</v>
      </c>
      <c r="V28" s="21">
        <f ca="1">(((T28+S28+R28+L28+(D28*$C$23))/J28)/$C$24)+(U28/$C$24/J28)+W28</f>
        <v>9143.7969903796566</v>
      </c>
      <c r="W28" s="21">
        <f>B28*$B$15</f>
        <v>741.34903356189875</v>
      </c>
      <c r="X28" s="62">
        <f ca="1">V28*AB28</f>
        <v>1371.5695485569483</v>
      </c>
      <c r="Z28" s="61">
        <f ca="1">V28+X28</f>
        <v>10515.366538936605</v>
      </c>
      <c r="AB28" s="30">
        <v>0.15</v>
      </c>
      <c r="AC28" s="63">
        <v>0</v>
      </c>
      <c r="AD28" s="64">
        <v>0</v>
      </c>
      <c r="AE28" s="65">
        <f ca="1">(Z28-Z28*AC28)+AD28</f>
        <v>10515.366538936605</v>
      </c>
      <c r="AF28" s="66"/>
      <c r="AG28" s="62">
        <f ca="1">AE28*J28</f>
        <v>704529.55810875259</v>
      </c>
      <c r="AH28" s="62">
        <f ca="1">AG28*($C$24+$B$12)</f>
        <v>7849093.3539338019</v>
      </c>
      <c r="AI28" s="67">
        <v>55</v>
      </c>
      <c r="AJ28" s="67">
        <f>$B$21</f>
        <v>0</v>
      </c>
      <c r="AK28" s="62">
        <f ca="1">AE28*J28*($C$24+2%)*$AK$27</f>
        <v>0</v>
      </c>
      <c r="AL28" s="62">
        <f ca="1">AE28*J28*($C$24+2%)*$AL$27</f>
        <v>7849093.3539338019</v>
      </c>
      <c r="AM28" s="80">
        <v>10960</v>
      </c>
      <c r="AN28" s="68"/>
    </row>
    <row r="29" spans="1:40" x14ac:dyDescent="0.35">
      <c r="A29" s="56" t="s">
        <v>67</v>
      </c>
      <c r="B29" s="69">
        <v>6200</v>
      </c>
      <c r="C29" s="58">
        <v>470</v>
      </c>
      <c r="D29" s="60">
        <f>$B$14</f>
        <v>9000</v>
      </c>
      <c r="E29" s="60">
        <v>25</v>
      </c>
      <c r="F29" s="60">
        <f>D29*$C$23*$F$27</f>
        <v>364500</v>
      </c>
      <c r="G29" s="60">
        <f>((AI29+AJ29)-M29)*(F29*$B$10/365)</f>
        <v>9167.4246575342459</v>
      </c>
      <c r="H29" s="60">
        <f>D29*$C$23*$H$27</f>
        <v>364500</v>
      </c>
      <c r="I29" s="60">
        <f>IF(((AI29+AJ29)-M29-E29)*(H29*$B$10/365)&lt;0,0,((AI29+AJ29)-M29-E29)*(H29*$B$10/365))</f>
        <v>2426.6712328767121</v>
      </c>
      <c r="J29" s="70">
        <v>67</v>
      </c>
      <c r="K29" s="58">
        <f>((B29+C29)*J29)+((B29+C29)*J29)*2%</f>
        <v>455827.8</v>
      </c>
      <c r="L29" s="58">
        <f>K29*($C$24*4%+$C$24)</f>
        <v>5271983.9962608004</v>
      </c>
      <c r="M29" s="58">
        <v>21</v>
      </c>
      <c r="N29" s="58">
        <f>L29*$N$27</f>
        <v>2635991.9981304002</v>
      </c>
      <c r="O29" s="58">
        <f ca="1">IF(N29&gt;AK29,(AI29+AJ29)*((N29-AK29)*($B$10/365)),0)</f>
        <v>107245.15389653821</v>
      </c>
      <c r="P29" s="58">
        <f>L29*$P$27</f>
        <v>2635991.9981304002</v>
      </c>
      <c r="Q29" s="58">
        <f ca="1">IF((AK29-N29)&lt;0,IF(P29&gt;(AK29-N29),(AI29+AJ29-M29)*((P29)*($B$10/365)),IF((AK29-N29-P29)&lt;0,(AI29+AJ29-M29)*((P29)*($B$10/365)),0)*0),0)</f>
        <v>66297.004226950885</v>
      </c>
      <c r="R29" s="58">
        <f>L29*0.6%</f>
        <v>31631.903977564802</v>
      </c>
      <c r="S29" s="58">
        <v>20000</v>
      </c>
      <c r="T29" s="58">
        <v>20000</v>
      </c>
      <c r="U29" s="61">
        <f ca="1">G29+I29+O29+Q29+((AI29+AJ29)*((R29+S29+T29)*$B$10/365))</f>
        <v>188050.59312093249</v>
      </c>
      <c r="V29" s="21">
        <f ca="1">(((T29+S29+R29+L29+(D29*$C$23))/J29)/$C$24)+(U29/$C$24/J29)+W29</f>
        <v>9143.7969903796566</v>
      </c>
      <c r="W29" s="21">
        <f>B29*$B$15</f>
        <v>741.34903356189875</v>
      </c>
      <c r="X29" s="62">
        <f ca="1">V29*AB29</f>
        <v>1399.1064159066354</v>
      </c>
      <c r="Z29" s="61">
        <f ca="1">V29+X29</f>
        <v>10542.903406286292</v>
      </c>
      <c r="AB29" s="30">
        <v>0.15301153529312375</v>
      </c>
      <c r="AC29" s="63">
        <v>0</v>
      </c>
      <c r="AD29" s="64">
        <v>0</v>
      </c>
      <c r="AE29" s="71">
        <f ca="1">(Z29-Z29*AC29)+AD29</f>
        <v>10542.903406286292</v>
      </c>
      <c r="AF29" s="66"/>
      <c r="AG29" s="62">
        <f ca="1">AE29*J29</f>
        <v>706374.52822118159</v>
      </c>
      <c r="AH29" s="62">
        <f ca="1">AG29*($C$24+$B$12)</f>
        <v>7869647.9814593624</v>
      </c>
      <c r="AI29" s="72">
        <v>55</v>
      </c>
      <c r="AJ29" s="67">
        <f>$B$21</f>
        <v>0</v>
      </c>
      <c r="AK29" s="62">
        <f ca="1">AE29*J29*($C$24+2%)*$AK$27</f>
        <v>0</v>
      </c>
      <c r="AL29" s="62">
        <f ca="1">AE29*J29*($C$24+2%)*$AL$27</f>
        <v>7869647.9814593624</v>
      </c>
      <c r="AM29" s="81"/>
      <c r="AN29" s="68"/>
    </row>
  </sheetData>
  <mergeCells count="9">
    <mergeCell ref="AM28:AM29"/>
    <mergeCell ref="F25:I25"/>
    <mergeCell ref="N25:Q25"/>
    <mergeCell ref="AK25:AL25"/>
    <mergeCell ref="E26:E27"/>
    <mergeCell ref="M26:M27"/>
    <mergeCell ref="V26:V27"/>
    <mergeCell ref="AI26:AI27"/>
    <mergeCell ref="AJ26:AJ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topLeftCell="X13" workbookViewId="0">
      <selection activeCell="AE28" sqref="AE28"/>
    </sheetView>
  </sheetViews>
  <sheetFormatPr defaultRowHeight="14.5" outlineLevelRow="1" outlineLevelCol="1" x14ac:dyDescent="0.35"/>
  <cols>
    <col min="1" max="1" width="23.453125" bestFit="1" customWidth="1"/>
    <col min="2" max="2" width="15.26953125" style="19" customWidth="1"/>
    <col min="3" max="3" width="25.7265625" bestFit="1" customWidth="1" outlineLevel="1"/>
    <col min="4" max="4" width="12.453125" customWidth="1" outlineLevel="1"/>
    <col min="5" max="5" width="15.54296875" style="3" customWidth="1" outlineLevel="1"/>
    <col min="6" max="6" width="22.6328125" customWidth="1" outlineLevel="1"/>
    <col min="7" max="7" width="19" customWidth="1" outlineLevel="1"/>
    <col min="8" max="8" width="16.26953125" customWidth="1" outlineLevel="1"/>
    <col min="9" max="9" width="16.6328125" customWidth="1" outlineLevel="1"/>
    <col min="10" max="10" width="18.6328125" customWidth="1" outlineLevel="1"/>
    <col min="11" max="11" width="20.1796875" customWidth="1" outlineLevel="1"/>
    <col min="12" max="12" width="17.26953125" customWidth="1" outlineLevel="1"/>
    <col min="13" max="13" width="15.81640625" style="3" customWidth="1" outlineLevel="1"/>
    <col min="14" max="18" width="17.26953125" customWidth="1" outlineLevel="1"/>
    <col min="19" max="19" width="16.26953125" customWidth="1" outlineLevel="1"/>
    <col min="20" max="20" width="15.7265625" customWidth="1" outlineLevel="1"/>
    <col min="21" max="21" width="19.08984375" customWidth="1" outlineLevel="1"/>
    <col min="22" max="23" width="18.90625" customWidth="1" outlineLevel="1"/>
    <col min="24" max="24" width="14.81640625" customWidth="1" outlineLevel="1"/>
    <col min="25" max="25" width="8.7265625" customWidth="1" outlineLevel="1"/>
    <col min="26" max="26" width="19.08984375" customWidth="1" outlineLevel="1"/>
    <col min="27" max="27" width="8.7265625" customWidth="1" outlineLevel="1"/>
    <col min="28" max="29" width="19.08984375" customWidth="1" outlineLevel="1"/>
    <col min="30" max="30" width="21.36328125" customWidth="1" outlineLevel="1"/>
    <col min="31" max="32" width="21.7265625" customWidth="1"/>
    <col min="33" max="36" width="16.7265625" customWidth="1"/>
    <col min="37" max="37" width="14.81640625" bestFit="1" customWidth="1"/>
    <col min="38" max="38" width="15.81640625" bestFit="1" customWidth="1"/>
    <col min="39" max="39" width="13.54296875" customWidth="1"/>
    <col min="40" max="40" width="12.54296875" bestFit="1" customWidth="1"/>
  </cols>
  <sheetData>
    <row r="1" spans="1:13" ht="43.5" x14ac:dyDescent="0.35">
      <c r="A1" s="1" t="s">
        <v>0</v>
      </c>
      <c r="B1" s="2" t="s">
        <v>1</v>
      </c>
      <c r="C1" s="1" t="s">
        <v>2</v>
      </c>
      <c r="D1" s="2" t="s">
        <v>1</v>
      </c>
      <c r="E1" s="3" t="s">
        <v>3</v>
      </c>
      <c r="F1" s="4" t="s">
        <v>4</v>
      </c>
      <c r="H1" s="1" t="s">
        <v>5</v>
      </c>
      <c r="J1" s="74"/>
    </row>
    <row r="2" spans="1:13" hidden="1" outlineLevel="1" x14ac:dyDescent="0.35">
      <c r="A2" s="5"/>
      <c r="B2" s="6" t="s">
        <v>6</v>
      </c>
      <c r="C2" s="5">
        <v>10669211.68</v>
      </c>
      <c r="D2" s="6" t="s">
        <v>6</v>
      </c>
      <c r="E2" s="7">
        <v>122091981.08</v>
      </c>
      <c r="F2" s="8">
        <v>9</v>
      </c>
      <c r="G2" s="9"/>
      <c r="H2" s="5"/>
      <c r="J2" s="74"/>
    </row>
    <row r="3" spans="1:13" hidden="1" outlineLevel="1" x14ac:dyDescent="0.35">
      <c r="A3" s="5"/>
      <c r="B3" s="6" t="s">
        <v>7</v>
      </c>
      <c r="C3" s="5">
        <v>638856.24</v>
      </c>
      <c r="D3" s="6" t="s">
        <v>7</v>
      </c>
      <c r="E3" s="7">
        <v>61777335.299999997</v>
      </c>
      <c r="F3" s="8">
        <v>9</v>
      </c>
      <c r="G3" s="9"/>
      <c r="H3" s="5"/>
      <c r="J3" s="74"/>
    </row>
    <row r="4" spans="1:13" collapsed="1" x14ac:dyDescent="0.35">
      <c r="A4" s="5">
        <f>19987000*1.1</f>
        <v>21985700</v>
      </c>
      <c r="B4" s="6" t="s">
        <v>8</v>
      </c>
      <c r="C4" s="5">
        <f>(E2+E3)</f>
        <v>183869316.38</v>
      </c>
      <c r="D4" s="6" t="s">
        <v>8</v>
      </c>
      <c r="E4" s="7"/>
      <c r="F4" s="8">
        <v>9</v>
      </c>
      <c r="H4" s="5">
        <f>A4/F4</f>
        <v>2442855.5555555555</v>
      </c>
      <c r="J4" s="75"/>
    </row>
    <row r="5" spans="1:13" x14ac:dyDescent="0.35">
      <c r="B5"/>
      <c r="E5"/>
      <c r="J5" s="74"/>
      <c r="M5"/>
    </row>
    <row r="6" spans="1:13" x14ac:dyDescent="0.35">
      <c r="A6" s="1" t="s">
        <v>9</v>
      </c>
      <c r="B6"/>
      <c r="E6"/>
      <c r="J6" s="74"/>
      <c r="M6"/>
    </row>
    <row r="7" spans="1:13" x14ac:dyDescent="0.35">
      <c r="A7" s="10" t="s">
        <v>10</v>
      </c>
      <c r="B7" s="11">
        <v>470</v>
      </c>
      <c r="C7" s="12" t="s">
        <v>6</v>
      </c>
      <c r="E7"/>
      <c r="J7" s="74"/>
      <c r="M7"/>
    </row>
    <row r="8" spans="1:13" x14ac:dyDescent="0.35">
      <c r="B8" s="11">
        <v>100</v>
      </c>
      <c r="C8" s="12" t="s">
        <v>7</v>
      </c>
      <c r="E8"/>
      <c r="M8"/>
    </row>
    <row r="9" spans="1:13" x14ac:dyDescent="0.35">
      <c r="A9" s="10" t="s">
        <v>11</v>
      </c>
      <c r="B9" s="13">
        <v>0.02</v>
      </c>
      <c r="C9" s="12"/>
      <c r="E9"/>
      <c r="M9"/>
    </row>
    <row r="10" spans="1:13" x14ac:dyDescent="0.35">
      <c r="A10" s="10" t="s">
        <v>12</v>
      </c>
      <c r="B10" s="13">
        <v>0.27</v>
      </c>
    </row>
    <row r="11" spans="1:13" ht="15" thickBot="1" x14ac:dyDescent="0.4">
      <c r="B11" s="13">
        <v>0.05</v>
      </c>
    </row>
    <row r="12" spans="1:13" ht="29.5" thickBot="1" x14ac:dyDescent="0.4">
      <c r="A12" s="14" t="s">
        <v>13</v>
      </c>
      <c r="B12" s="15">
        <v>0.02</v>
      </c>
    </row>
    <row r="13" spans="1:13" ht="29.5" thickBot="1" x14ac:dyDescent="0.4">
      <c r="A13" s="14" t="s">
        <v>14</v>
      </c>
      <c r="B13" s="16">
        <f>55000/C23</f>
        <v>679.01234567901236</v>
      </c>
    </row>
    <row r="14" spans="1:13" ht="15" thickBot="1" x14ac:dyDescent="0.4">
      <c r="A14" s="14" t="s">
        <v>15</v>
      </c>
      <c r="B14" s="16">
        <v>9000</v>
      </c>
    </row>
    <row r="15" spans="1:13" ht="29" x14ac:dyDescent="0.35">
      <c r="A15" s="17" t="s">
        <v>16</v>
      </c>
      <c r="B15" s="18">
        <f>A4/C4</f>
        <v>0.11957242476804819</v>
      </c>
      <c r="K15" s="74"/>
      <c r="L15" s="74"/>
    </row>
    <row r="16" spans="1:13" x14ac:dyDescent="0.35">
      <c r="K16" s="74"/>
      <c r="L16" s="74"/>
    </row>
    <row r="17" spans="1:40" x14ac:dyDescent="0.35">
      <c r="A17" s="79" t="s">
        <v>69</v>
      </c>
      <c r="B17" s="6" t="s">
        <v>70</v>
      </c>
      <c r="K17" s="74"/>
      <c r="L17" s="74"/>
    </row>
    <row r="18" spans="1:40" x14ac:dyDescent="0.35">
      <c r="A18" s="79" t="s">
        <v>71</v>
      </c>
      <c r="B18" s="6" t="s">
        <v>72</v>
      </c>
      <c r="G18" s="20"/>
      <c r="K18" s="74"/>
      <c r="L18" s="74"/>
    </row>
    <row r="19" spans="1:40" x14ac:dyDescent="0.35">
      <c r="A19" s="79" t="s">
        <v>11</v>
      </c>
      <c r="B19" s="6" t="s">
        <v>72</v>
      </c>
      <c r="G19" s="20"/>
      <c r="K19" s="74"/>
      <c r="L19" s="74"/>
    </row>
    <row r="20" spans="1:40" x14ac:dyDescent="0.35">
      <c r="A20" s="79" t="s">
        <v>73</v>
      </c>
      <c r="B20" s="6">
        <v>100</v>
      </c>
      <c r="C20" t="s">
        <v>77</v>
      </c>
      <c r="G20" s="20"/>
      <c r="K20" s="74"/>
      <c r="L20" s="74"/>
    </row>
    <row r="21" spans="1:40" ht="29" x14ac:dyDescent="0.35">
      <c r="A21" s="79" t="s">
        <v>75</v>
      </c>
      <c r="B21" s="6">
        <v>0</v>
      </c>
      <c r="K21" s="73"/>
      <c r="L21" s="74"/>
    </row>
    <row r="22" spans="1:40" x14ac:dyDescent="0.35">
      <c r="B22" s="78" t="s">
        <v>17</v>
      </c>
      <c r="C22" s="22">
        <v>94.94</v>
      </c>
      <c r="K22" s="73"/>
      <c r="L22" s="74"/>
    </row>
    <row r="23" spans="1:40" ht="49" customHeight="1" x14ac:dyDescent="0.35">
      <c r="A23" s="23" t="s">
        <v>18</v>
      </c>
      <c r="B23" s="22" t="s">
        <v>19</v>
      </c>
      <c r="C23" s="22">
        <v>81</v>
      </c>
      <c r="F23" s="24"/>
      <c r="G23" s="24">
        <f>4*65*12</f>
        <v>3120</v>
      </c>
      <c r="H23" s="24"/>
      <c r="I23" s="24"/>
      <c r="J23" s="8" t="s">
        <v>20</v>
      </c>
      <c r="K23" s="74"/>
      <c r="L23" s="74"/>
    </row>
    <row r="24" spans="1:40" x14ac:dyDescent="0.35">
      <c r="A24" s="25"/>
      <c r="B24" s="26" t="s">
        <v>21</v>
      </c>
      <c r="C24" s="27">
        <v>11.120900000000001</v>
      </c>
      <c r="D24" s="28"/>
      <c r="E24" s="28"/>
      <c r="F24" s="24"/>
      <c r="G24" s="24"/>
      <c r="H24" s="24"/>
      <c r="I24" s="24">
        <v>49</v>
      </c>
      <c r="J24" s="8">
        <v>1</v>
      </c>
      <c r="Q24" s="68">
        <f ca="1">AK28-N28</f>
        <v>5013168.9578991234</v>
      </c>
      <c r="U24" s="29"/>
      <c r="Z24" s="30"/>
      <c r="AB24" s="29" t="s">
        <v>22</v>
      </c>
      <c r="AC24" s="29"/>
      <c r="AI24" s="31"/>
      <c r="AJ24" s="31"/>
    </row>
    <row r="25" spans="1:40" s="41" customFormat="1" ht="60.5" customHeight="1" thickBot="1" x14ac:dyDescent="0.4">
      <c r="A25" s="32" t="s">
        <v>23</v>
      </c>
      <c r="B25" s="33" t="s">
        <v>24</v>
      </c>
      <c r="C25" s="34" t="s">
        <v>25</v>
      </c>
      <c r="D25" s="34" t="s">
        <v>26</v>
      </c>
      <c r="E25" s="35" t="s">
        <v>27</v>
      </c>
      <c r="F25" s="82" t="s">
        <v>28</v>
      </c>
      <c r="G25" s="83"/>
      <c r="H25" s="83"/>
      <c r="I25" s="84"/>
      <c r="J25" s="36" t="s">
        <v>29</v>
      </c>
      <c r="K25" s="36" t="s">
        <v>30</v>
      </c>
      <c r="L25" s="34" t="s">
        <v>31</v>
      </c>
      <c r="M25" s="37" t="s">
        <v>32</v>
      </c>
      <c r="N25" s="82" t="s">
        <v>33</v>
      </c>
      <c r="O25" s="83"/>
      <c r="P25" s="83"/>
      <c r="Q25" s="84"/>
      <c r="R25" s="34" t="s">
        <v>34</v>
      </c>
      <c r="S25" s="34" t="s">
        <v>35</v>
      </c>
      <c r="T25" s="34" t="s">
        <v>36</v>
      </c>
      <c r="U25" s="38" t="s">
        <v>37</v>
      </c>
      <c r="V25" s="39" t="s">
        <v>68</v>
      </c>
      <c r="W25" s="39" t="s">
        <v>38</v>
      </c>
      <c r="X25" s="40" t="s">
        <v>39</v>
      </c>
      <c r="Z25" s="38" t="s">
        <v>40</v>
      </c>
      <c r="AB25" s="77" t="s">
        <v>22</v>
      </c>
      <c r="AC25" s="42" t="s">
        <v>41</v>
      </c>
      <c r="AD25" s="43" t="s">
        <v>42</v>
      </c>
      <c r="AE25" s="44" t="s">
        <v>43</v>
      </c>
      <c r="AF25" s="44"/>
      <c r="AG25" s="45" t="s">
        <v>44</v>
      </c>
      <c r="AH25" s="45" t="s">
        <v>45</v>
      </c>
      <c r="AI25" s="46" t="s">
        <v>46</v>
      </c>
      <c r="AJ25" s="46" t="s">
        <v>47</v>
      </c>
      <c r="AK25" s="82" t="s">
        <v>48</v>
      </c>
      <c r="AL25" s="84"/>
      <c r="AM25" s="40" t="s">
        <v>49</v>
      </c>
    </row>
    <row r="26" spans="1:40" ht="22" customHeight="1" x14ac:dyDescent="0.35">
      <c r="A26" s="47"/>
      <c r="B26" s="47"/>
      <c r="C26" s="47"/>
      <c r="D26" s="47"/>
      <c r="E26" s="85"/>
      <c r="F26" s="22" t="s">
        <v>50</v>
      </c>
      <c r="G26" s="22" t="s">
        <v>51</v>
      </c>
      <c r="H26" s="76" t="s">
        <v>52</v>
      </c>
      <c r="I26" s="76" t="s">
        <v>53</v>
      </c>
      <c r="J26" s="49"/>
      <c r="K26" s="49"/>
      <c r="L26" s="49"/>
      <c r="M26" s="87" t="s">
        <v>54</v>
      </c>
      <c r="N26" s="22" t="s">
        <v>55</v>
      </c>
      <c r="O26" s="22" t="s">
        <v>56</v>
      </c>
      <c r="P26" s="76" t="s">
        <v>54</v>
      </c>
      <c r="Q26" s="76" t="s">
        <v>57</v>
      </c>
      <c r="R26" s="49"/>
      <c r="S26" s="49"/>
      <c r="T26" s="49"/>
      <c r="U26" s="49"/>
      <c r="V26" s="88" t="s">
        <v>58</v>
      </c>
      <c r="W26" s="50"/>
      <c r="X26" s="49"/>
      <c r="Z26" s="49"/>
      <c r="AB26" s="49"/>
      <c r="AC26" s="49"/>
      <c r="AD26" s="49"/>
      <c r="AE26" s="49"/>
      <c r="AF26" s="49"/>
      <c r="AG26" s="49"/>
      <c r="AH26" s="49"/>
      <c r="AI26" s="90" t="s">
        <v>59</v>
      </c>
      <c r="AJ26" s="92" t="s">
        <v>60</v>
      </c>
      <c r="AK26" s="51" t="s">
        <v>61</v>
      </c>
      <c r="AL26" s="22" t="s">
        <v>62</v>
      </c>
      <c r="AM26" s="49"/>
    </row>
    <row r="27" spans="1:40" ht="22.5" customHeight="1" thickBot="1" x14ac:dyDescent="0.4">
      <c r="A27" s="52"/>
      <c r="B27" s="53"/>
      <c r="C27" s="53"/>
      <c r="D27" s="53"/>
      <c r="E27" s="86"/>
      <c r="F27" s="54">
        <v>0.5</v>
      </c>
      <c r="G27" s="54" t="s">
        <v>63</v>
      </c>
      <c r="H27" s="30">
        <v>0.5</v>
      </c>
      <c r="I27" s="54" t="s">
        <v>64</v>
      </c>
      <c r="J27" s="49"/>
      <c r="K27" s="49"/>
      <c r="L27" s="49"/>
      <c r="M27" s="87"/>
      <c r="N27" s="54">
        <v>0.5</v>
      </c>
      <c r="O27" s="54" t="s">
        <v>65</v>
      </c>
      <c r="P27" s="30">
        <v>0.5</v>
      </c>
      <c r="Q27" s="30" t="s">
        <v>66</v>
      </c>
      <c r="R27" s="49"/>
      <c r="S27" s="49"/>
      <c r="T27" s="49"/>
      <c r="U27" s="49"/>
      <c r="V27" s="89"/>
      <c r="W27" s="50"/>
      <c r="X27" s="49"/>
      <c r="Z27" s="49"/>
      <c r="AB27" s="49"/>
      <c r="AC27" s="49"/>
      <c r="AD27" s="49"/>
      <c r="AE27" s="49"/>
      <c r="AF27" s="49"/>
      <c r="AG27" s="49"/>
      <c r="AH27" s="49"/>
      <c r="AI27" s="91"/>
      <c r="AJ27" s="93"/>
      <c r="AK27" s="55">
        <v>1</v>
      </c>
      <c r="AL27" s="30">
        <v>0</v>
      </c>
      <c r="AM27" s="49"/>
    </row>
    <row r="28" spans="1:40" x14ac:dyDescent="0.35">
      <c r="A28" s="56" t="s">
        <v>67</v>
      </c>
      <c r="B28" s="57">
        <v>6200</v>
      </c>
      <c r="C28" s="58">
        <v>470</v>
      </c>
      <c r="D28" s="59">
        <f>$B$14</f>
        <v>9000</v>
      </c>
      <c r="E28" s="59">
        <v>25</v>
      </c>
      <c r="F28" s="60">
        <f>D28*$C$23*$F$27</f>
        <v>364500</v>
      </c>
      <c r="G28" s="60">
        <f>((AI28+AJ28)-M28)*(F28*$B$10/365)</f>
        <v>9167.4246575342459</v>
      </c>
      <c r="H28" s="60">
        <f>D28*$C$23*$H$27</f>
        <v>364500</v>
      </c>
      <c r="I28" s="60">
        <f>IF(((AI28+AJ28)-M28-E28)*(H28*$B$10/365)&lt;0,0,((AI28+AJ28)-M28-E28)*(H28*$B$10/365))</f>
        <v>2426.6712328767121</v>
      </c>
      <c r="J28" s="57">
        <v>67</v>
      </c>
      <c r="K28" s="58">
        <f>((B28+C28)*J28)+((B28+C28)*J28)*2%</f>
        <v>455827.8</v>
      </c>
      <c r="L28" s="57">
        <f>K28*($C$24*4%+$C$24)</f>
        <v>5271983.9962608004</v>
      </c>
      <c r="M28" s="57">
        <v>21</v>
      </c>
      <c r="N28" s="58">
        <f>L28*$N$27</f>
        <v>2635991.9981304002</v>
      </c>
      <c r="O28" s="58">
        <f ca="1">IF(N28&gt;AK28,(AI28+AJ28)*((N28-AK28)*($B$10/365)),0)</f>
        <v>0</v>
      </c>
      <c r="P28" s="58">
        <f>L28*$P$27</f>
        <v>2635991.9981304002</v>
      </c>
      <c r="Q28" s="58">
        <f ca="1">IF((AK28-N28)&lt;0,IF(P28&gt;(AK28-N28),(AI28+AJ28-M28)*((P28)*($B$10/365)),IF((AK28-N28-P28)&lt;0,(AI28+AJ28-M28)*((P28)*($B$10/365)),0)*0),0)</f>
        <v>0</v>
      </c>
      <c r="R28" s="58">
        <f>L28*0.6%</f>
        <v>31631.903977564802</v>
      </c>
      <c r="S28" s="58">
        <v>20000</v>
      </c>
      <c r="T28" s="58">
        <v>20000</v>
      </c>
      <c r="U28" s="61">
        <f ca="1">G28+I28+O28+Q28+((AI28+AJ28)*((R28+S28+T28)*$B$10/365))</f>
        <v>14508.434997443388</v>
      </c>
      <c r="V28" s="21">
        <f ca="1">(((T28+S28+R28+L28+(D28*$C$23))/J28)/$C$24)+(U28/$C$24/J28)+W28</f>
        <v>8910.8858532837658</v>
      </c>
      <c r="W28" s="21">
        <f>B28*$B$15</f>
        <v>741.34903356189875</v>
      </c>
      <c r="X28" s="62">
        <f ca="1">V28*AB28</f>
        <v>1336.6328779925648</v>
      </c>
      <c r="Z28" s="61">
        <f ca="1">V28+X28</f>
        <v>10247.51873127633</v>
      </c>
      <c r="AB28" s="30">
        <v>0.15</v>
      </c>
      <c r="AC28" s="63">
        <v>0</v>
      </c>
      <c r="AD28" s="64">
        <v>0</v>
      </c>
      <c r="AE28" s="65">
        <f ca="1">(Z28-Z28*AC28)+AD28</f>
        <v>10247.51873127633</v>
      </c>
      <c r="AF28" s="66"/>
      <c r="AG28" s="62">
        <f ca="1">AE28*J28</f>
        <v>686583.75499551417</v>
      </c>
      <c r="AH28" s="62">
        <f ca="1">AG28*($C$24+$B$12)</f>
        <v>7649160.9560295241</v>
      </c>
      <c r="AI28" s="67">
        <v>55</v>
      </c>
      <c r="AJ28" s="67">
        <f>$B$21</f>
        <v>0</v>
      </c>
      <c r="AK28" s="62">
        <f ca="1">AE28*J28*($C$24+2%)*$AK$27</f>
        <v>7649160.9560295241</v>
      </c>
      <c r="AL28" s="62">
        <f ca="1">AE28*J28*($C$24+2%)*$AL$27</f>
        <v>0</v>
      </c>
      <c r="AM28" s="80">
        <v>10960</v>
      </c>
      <c r="AN28" s="68"/>
    </row>
    <row r="29" spans="1:40" x14ac:dyDescent="0.35">
      <c r="A29" s="56" t="s">
        <v>67</v>
      </c>
      <c r="B29" s="69">
        <v>6200</v>
      </c>
      <c r="C29" s="58">
        <v>470</v>
      </c>
      <c r="D29" s="60">
        <f>$B$14</f>
        <v>9000</v>
      </c>
      <c r="E29" s="60">
        <v>25</v>
      </c>
      <c r="F29" s="60">
        <f>D29*$C$23*$F$27</f>
        <v>364500</v>
      </c>
      <c r="G29" s="60">
        <f>((AI29+AJ29)-M29)*(F29*$B$10/365)</f>
        <v>9167.4246575342459</v>
      </c>
      <c r="H29" s="60">
        <f>D29*$C$23*$H$27</f>
        <v>364500</v>
      </c>
      <c r="I29" s="60">
        <f>IF(((AI29+AJ29)-M29-E29)*(H29*$B$10/365)&lt;0,0,((AI29+AJ29)-M29-E29)*(H29*$B$10/365))</f>
        <v>2426.6712328767121</v>
      </c>
      <c r="J29" s="70">
        <v>67</v>
      </c>
      <c r="K29" s="58">
        <f>((B29+C29)*J29)+((B29+C29)*J29)*2%</f>
        <v>455827.8</v>
      </c>
      <c r="L29" s="58">
        <f>K29*($C$24*4%+$C$24)</f>
        <v>5271983.9962608004</v>
      </c>
      <c r="M29" s="58">
        <v>21</v>
      </c>
      <c r="N29" s="58">
        <f>L29*$N$27</f>
        <v>2635991.9981304002</v>
      </c>
      <c r="O29" s="58">
        <f ca="1">IF(N29&gt;AK29,(AI29+AJ29)*((N29-AK29)*($B$10/365)),0)</f>
        <v>0</v>
      </c>
      <c r="P29" s="58">
        <f>L29*$P$27</f>
        <v>2635991.9981304002</v>
      </c>
      <c r="Q29" s="58">
        <f ca="1">IF((AK29-N29)&lt;0,IF(P29&gt;(AK29-N29),(AI29+AJ29-M29)*((P29)*($B$10/365)),IF((AK29-N29-P29)&lt;0,(AI29+AJ29-M29)*((P29)*($B$10/365)),0)*0),0)</f>
        <v>0</v>
      </c>
      <c r="R29" s="58">
        <f>L29*0.6%</f>
        <v>31631.903977564802</v>
      </c>
      <c r="S29" s="58">
        <v>20000</v>
      </c>
      <c r="T29" s="58">
        <v>20000</v>
      </c>
      <c r="U29" s="61">
        <f ca="1">G29+I29+O29+Q29+((AI29+AJ29)*((R29+S29+T29)*$B$10/365))</f>
        <v>14508.434997443388</v>
      </c>
      <c r="V29" s="21">
        <f ca="1">(((T29+S29+R29+L29+(D29*$C$23))/J29)/$C$24)+(U29/$C$24/J29)+W29</f>
        <v>8910.8858532837658</v>
      </c>
      <c r="W29" s="21">
        <f>B29*$B$15</f>
        <v>741.34903356189875</v>
      </c>
      <c r="X29" s="62">
        <f ca="1">V29*AB29</f>
        <v>1363.4683252327261</v>
      </c>
      <c r="Z29" s="61">
        <f ca="1">V29+X29</f>
        <v>10274.354178516493</v>
      </c>
      <c r="AB29" s="30">
        <v>0.15301153529312375</v>
      </c>
      <c r="AC29" s="63">
        <v>0</v>
      </c>
      <c r="AD29" s="64">
        <v>0</v>
      </c>
      <c r="AE29" s="71">
        <f ca="1">(Z29-Z29*AC29)+AD29</f>
        <v>10274.354178516493</v>
      </c>
      <c r="AF29" s="66"/>
      <c r="AG29" s="62">
        <f ca="1">AE29*J29</f>
        <v>688381.72996060504</v>
      </c>
      <c r="AH29" s="62">
        <f ca="1">AG29*($C$24+$B$12)</f>
        <v>7669192.015318105</v>
      </c>
      <c r="AI29" s="72">
        <v>55</v>
      </c>
      <c r="AJ29" s="67">
        <f>$B$21</f>
        <v>0</v>
      </c>
      <c r="AK29" s="62">
        <f ca="1">AE29*J29*($C$24+2%)*$AK$27</f>
        <v>7669192.015318105</v>
      </c>
      <c r="AL29" s="62">
        <f ca="1">AE29*J29*($C$24+2%)*$AL$27</f>
        <v>0</v>
      </c>
      <c r="AM29" s="81"/>
      <c r="AN29" s="68"/>
    </row>
  </sheetData>
  <mergeCells count="9">
    <mergeCell ref="AM28:AM29"/>
    <mergeCell ref="F25:I25"/>
    <mergeCell ref="N25:Q25"/>
    <mergeCell ref="AK25:AL25"/>
    <mergeCell ref="E26:E27"/>
    <mergeCell ref="M26:M27"/>
    <mergeCell ref="V26:V27"/>
    <mergeCell ref="AI26:AI27"/>
    <mergeCell ref="AJ26:A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tabSelected="1" workbookViewId="0">
      <selection activeCell="D15" sqref="D15"/>
    </sheetView>
  </sheetViews>
  <sheetFormatPr defaultRowHeight="14.5" x14ac:dyDescent="0.35"/>
  <cols>
    <col min="1" max="1" width="16.1796875" bestFit="1" customWidth="1"/>
    <col min="2" max="2" width="20.36328125" bestFit="1" customWidth="1"/>
    <col min="3" max="3" width="29.7265625" bestFit="1" customWidth="1"/>
    <col min="4" max="4" width="30.26953125" bestFit="1" customWidth="1"/>
  </cols>
  <sheetData>
    <row r="3" spans="1:4" x14ac:dyDescent="0.35">
      <c r="A3" t="s">
        <v>78</v>
      </c>
    </row>
    <row r="5" spans="1:4" x14ac:dyDescent="0.35">
      <c r="A5" s="94" t="s">
        <v>79</v>
      </c>
      <c r="B5" s="94" t="s">
        <v>81</v>
      </c>
    </row>
    <row r="6" spans="1:4" x14ac:dyDescent="0.35">
      <c r="A6" s="94" t="s">
        <v>80</v>
      </c>
      <c r="B6" s="95">
        <v>10931.354789739484</v>
      </c>
    </row>
    <row r="7" spans="1:4" x14ac:dyDescent="0.35">
      <c r="A7" s="94" t="s">
        <v>72</v>
      </c>
      <c r="B7" s="95">
        <v>10349.842612854412</v>
      </c>
    </row>
    <row r="8" spans="1:4" x14ac:dyDescent="0.35">
      <c r="A8" s="94" t="s">
        <v>82</v>
      </c>
      <c r="B8" s="95">
        <v>10515.366538936605</v>
      </c>
    </row>
    <row r="9" spans="1:4" x14ac:dyDescent="0.35">
      <c r="A9" s="94" t="s">
        <v>83</v>
      </c>
      <c r="B9" s="95">
        <v>10247.51873127633</v>
      </c>
    </row>
    <row r="11" spans="1:4" x14ac:dyDescent="0.35">
      <c r="D11" t="s">
        <v>85</v>
      </c>
    </row>
    <row r="12" spans="1:4" x14ac:dyDescent="0.35">
      <c r="A12" t="s">
        <v>84</v>
      </c>
      <c r="B12" s="94" t="s">
        <v>81</v>
      </c>
      <c r="C12" s="94" t="s">
        <v>40</v>
      </c>
      <c r="D12" s="96" t="s">
        <v>86</v>
      </c>
    </row>
    <row r="13" spans="1:4" x14ac:dyDescent="0.35">
      <c r="A13" s="94" t="s">
        <v>80</v>
      </c>
      <c r="B13" s="95">
        <v>10931.354789739484</v>
      </c>
      <c r="C13" s="97">
        <v>10000</v>
      </c>
      <c r="D13" t="s">
        <v>87</v>
      </c>
    </row>
    <row r="14" spans="1:4" x14ac:dyDescent="0.35">
      <c r="A14" s="94" t="s">
        <v>72</v>
      </c>
      <c r="B14" s="95">
        <v>10349.842612854412</v>
      </c>
      <c r="C14" s="97">
        <v>10000</v>
      </c>
      <c r="D14" t="s">
        <v>87</v>
      </c>
    </row>
    <row r="15" spans="1:4" x14ac:dyDescent="0.35">
      <c r="A15" s="94" t="s">
        <v>82</v>
      </c>
      <c r="B15" s="95">
        <v>10515.366538936605</v>
      </c>
      <c r="C15" s="97">
        <v>10000</v>
      </c>
      <c r="D15" t="s">
        <v>87</v>
      </c>
    </row>
    <row r="16" spans="1:4" x14ac:dyDescent="0.35">
      <c r="A16" s="94" t="s">
        <v>83</v>
      </c>
      <c r="B16" s="95">
        <v>10247.51873127633</v>
      </c>
      <c r="C16" s="97">
        <v>10000</v>
      </c>
      <c r="D16" t="s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оплата</vt:lpstr>
      <vt:lpstr>50-50</vt:lpstr>
      <vt:lpstr>100 по доставке</vt:lpstr>
      <vt:lpstr>Предоплата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2025-10-10T14:42:06Z</dcterms:modified>
</cp:coreProperties>
</file>